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ESCOLA" sheetId="2" state="visible" r:id="rId4"/>
    <sheet name="DIAGNOSTICO" sheetId="3" state="visible" r:id="rId5"/>
    <sheet name="OS" sheetId="4" state="visible" r:id="rId6"/>
    <sheet name="EXECUCAO" sheetId="5" state="visible" r:id="rId7"/>
    <sheet name="RADIOGRAFIA" sheetId="6" state="visible" r:id="rId8"/>
    <sheet name="LISTA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<sst xmlns="http://schemas.openxmlformats.org/spreadsheetml/2006/main" count="9757" uniqueCount="2399">
  <si>
    <t xml:space="preserve">Modelo de dados — Climatização Escolar Fortaleza</t>
  </si>
  <si>
    <t xml:space="preserve">Quatro tabelas ligadas pelo SGE. Esta é a base que o portal (Code) vai ler.</t>
  </si>
  <si>
    <t xml:space="preserve">ESCOLA  (512, real): cadastro, endereço, status geral, valores de adequação, nº das A.S.</t>
  </si>
  <si>
    <t xml:space="preserve">   Inclui ENDEREÇO_GEOCODE pronto e colunas LAT/LNG vazias para o Code geocodificar.</t>
  </si>
  <si>
    <t xml:space="preserve">DIAGNOSTICO (512, régua vazia): o estudo do Ed e o repasse Ed para Luccas.</t>
  </si>
  <si>
    <t xml:space="preserve">OS  (semeada): já traz as A.S. civis e elétricas que existem na base. O resto enche agora.</t>
  </si>
  <si>
    <t xml:space="preserve">EXECUCAO (real): máquinas por BTU e TODOS os custos (máquinas, serviços, instalação, total).</t>
  </si>
  <si>
    <t xml:space="preserve">   É a aba dos custos que o Paço quer monitorar.</t>
  </si>
  <si>
    <t xml:space="preserve">Geocodificação: o mapa precisa de LAT e LNG por escola. Use a coluna ENDEREÇO_GEOCODE</t>
  </si>
  <si>
    <t xml:space="preserve">   para geocodificar (Google Geocoding API ou Nominatim) e preencher LAT/LNG.</t>
  </si>
  <si>
    <t xml:space="preserve">Status são listas fechadas. Não digitar livre.</t>
  </si>
  <si>
    <t xml:space="preserve">Recorte: exclui CRP (156) e CAEE (9). 677 - 165 = 512.</t>
  </si>
  <si>
    <t xml:space="preserve">SGE</t>
  </si>
  <si>
    <t xml:space="preserve">TIPO</t>
  </si>
  <si>
    <t xml:space="preserve">UNIDADE ESCOLAR</t>
  </si>
  <si>
    <t xml:space="preserve">ENDEREÇO</t>
  </si>
  <si>
    <t xml:space="preserve">BAIRRO</t>
  </si>
  <si>
    <t xml:space="preserve">COD_BAIRRO</t>
  </si>
  <si>
    <t xml:space="preserve">DISTRITO</t>
  </si>
  <si>
    <t xml:space="preserve">REGIONAL</t>
  </si>
  <si>
    <t xml:space="preserve">TERRITÓRIO</t>
  </si>
  <si>
    <t xml:space="preserve">ETAPA</t>
  </si>
  <si>
    <t xml:space="preserve">Nº DE SALAS</t>
  </si>
  <si>
    <t xml:space="preserve">POSSUI SUBESTAÇÃO?</t>
  </si>
  <si>
    <t xml:space="preserve">POTÊNCIA SUBESTAÇÃO</t>
  </si>
  <si>
    <t xml:space="preserve">STATUS GERAL</t>
  </si>
  <si>
    <t xml:space="preserve">VALOR ADEQ. CIVIL</t>
  </si>
  <si>
    <t xml:space="preserve">VALOR ADEQ. ELÉTRICA</t>
  </si>
  <si>
    <t xml:space="preserve">VALOR TOTAL ADEQ.</t>
  </si>
  <si>
    <t xml:space="preserve">Nº A.S. CIVIL</t>
  </si>
  <si>
    <t xml:space="preserve">Nº A.S. ELÉTRICA</t>
  </si>
  <si>
    <t xml:space="preserve">TEM EXECUÇÃO 25/26</t>
  </si>
  <si>
    <t xml:space="preserve">ENDEREÇO_GEOCODE</t>
  </si>
  <si>
    <t xml:space="preserve">LAT</t>
  </si>
  <si>
    <t xml:space="preserve">LNG</t>
  </si>
  <si>
    <t xml:space="preserve">499</t>
  </si>
  <si>
    <t xml:space="preserve">CEI</t>
  </si>
  <si>
    <t xml:space="preserve">CEI TERTULIANO CAMBRAIA</t>
  </si>
  <si>
    <t xml:space="preserve">RUA MONSENHOR ROSA, 947</t>
  </si>
  <si>
    <t xml:space="preserve">CARLITO PAMPLONA</t>
  </si>
  <si>
    <t xml:space="preserve">I</t>
  </si>
  <si>
    <t xml:space="preserve">ETAPA 02</t>
  </si>
  <si>
    <t xml:space="preserve">NÃO</t>
  </si>
  <si>
    <t xml:space="preserve">0. A INICIAR</t>
  </si>
  <si>
    <t xml:space="preserve">SIM</t>
  </si>
  <si>
    <t xml:space="preserve">RUA MONSENHOR ROSA, 947, CARLITO PAMPLONA, Fortaleza - CE, Brasil</t>
  </si>
  <si>
    <t xml:space="preserve">481</t>
  </si>
  <si>
    <t xml:space="preserve">CEI SECRETARIO PAULO PETROLA</t>
  </si>
  <si>
    <t xml:space="preserve">RUA JACINTO DE MATOS, 906</t>
  </si>
  <si>
    <t xml:space="preserve">JACARECANGA</t>
  </si>
  <si>
    <t xml:space="preserve">RUA JACINTO DE MATOS, 906, JACARECANGA, Fortaleza - CE, Brasil</t>
  </si>
  <si>
    <t xml:space="preserve">164</t>
  </si>
  <si>
    <t xml:space="preserve">EMTP</t>
  </si>
  <si>
    <t xml:space="preserve">ESCOLA MUNICIPAL PROFESSORA JOSEFINA PARENTE DE ARAUJO</t>
  </si>
  <si>
    <t xml:space="preserve">RUA PEDRO MAMEDE, 175</t>
  </si>
  <si>
    <t xml:space="preserve">SABIAGUABA</t>
  </si>
  <si>
    <t xml:space="preserve">II</t>
  </si>
  <si>
    <t xml:space="preserve">ETAPA 01 - PARCIAL</t>
  </si>
  <si>
    <t xml:space="preserve">10. CLIMATIZADA PARCIAL</t>
  </si>
  <si>
    <t xml:space="preserve">RUA PEDRO MAMEDE, 175, SABIAGUABA, Fortaleza - CE, Brasil</t>
  </si>
  <si>
    <t xml:space="preserve">378</t>
  </si>
  <si>
    <t xml:space="preserve">CEI MARIA BEZERRA QUEVEDO</t>
  </si>
  <si>
    <t xml:space="preserve">RUA 106, 114 (CONJUNTO NOVO MONDUBIM)</t>
  </si>
  <si>
    <t xml:space="preserve">NOVO MONDUBIM</t>
  </si>
  <si>
    <t xml:space="preserve">V</t>
  </si>
  <si>
    <t xml:space="preserve">CEI PADRÃO JURACI</t>
  </si>
  <si>
    <t xml:space="preserve">RUA 106, 114 (CONJUNTO NOVO MONDUBIM), NOVO MONDUBIM, Fortaleza - CE, Brasil</t>
  </si>
  <si>
    <t xml:space="preserve">381</t>
  </si>
  <si>
    <t xml:space="preserve">CEI ROGACIANO LEITE</t>
  </si>
  <si>
    <t xml:space="preserve">AV. J, 1488</t>
  </si>
  <si>
    <t xml:space="preserve">PREFEITO JOSÉ WALTER</t>
  </si>
  <si>
    <t xml:space="preserve">IV</t>
  </si>
  <si>
    <t xml:space="preserve">AV. J, 1488, PREFEITO JOSÉ WALTER, Fortaleza - CE, Brasil</t>
  </si>
  <si>
    <t xml:space="preserve">384</t>
  </si>
  <si>
    <t xml:space="preserve">CEI JOAO ESTANISLAU FACANHA</t>
  </si>
  <si>
    <t xml:space="preserve">RUA HOLANDA, 870</t>
  </si>
  <si>
    <t xml:space="preserve">JARDIM CEARENSE</t>
  </si>
  <si>
    <t xml:space="preserve">RUA HOLANDA, 870, JARDIM CEARENSE, Fortaleza - CE, Brasil</t>
  </si>
  <si>
    <t xml:space="preserve">388</t>
  </si>
  <si>
    <t xml:space="preserve">CEI MANOEL MALVEIRA MAIA</t>
  </si>
  <si>
    <t xml:space="preserve">RUA DANDARA KETLEY, 2890A</t>
  </si>
  <si>
    <t xml:space="preserve">GRANJA LISBOA</t>
  </si>
  <si>
    <t xml:space="preserve">RUA DANDARA KETLEY, 2890A, GRANJA LISBOA, Fortaleza - CE, Brasil</t>
  </si>
  <si>
    <t xml:space="preserve">390</t>
  </si>
  <si>
    <t xml:space="preserve">CEI RACHEL VIANA MARTINS</t>
  </si>
  <si>
    <t xml:space="preserve">RUA TUCUNDUBA, 2703</t>
  </si>
  <si>
    <t xml:space="preserve">RUA TUCUNDUBA, 2703, GRANJA LISBOA, Fortaleza - CE, Brasil</t>
  </si>
  <si>
    <t xml:space="preserve">391</t>
  </si>
  <si>
    <t xml:space="preserve">CEI FREI TITO DE ALENCAR LIMA</t>
  </si>
  <si>
    <t xml:space="preserve">AV. CLÓVIS ARRAIS MAIA, 6470</t>
  </si>
  <si>
    <t xml:space="preserve">PRAIA DO FUTURO II</t>
  </si>
  <si>
    <t xml:space="preserve">AV. CLÓVIS ARRAIS MAIA, 6470, PRAIA DO FUTURO II, Fortaleza - CE, Brasil</t>
  </si>
  <si>
    <t xml:space="preserve">395</t>
  </si>
  <si>
    <t xml:space="preserve">CEI PAULO SARASATE</t>
  </si>
  <si>
    <t xml:space="preserve">RUA PEDRO MUNIZ, 250</t>
  </si>
  <si>
    <t xml:space="preserve">DEMÓCRITO ROCHA</t>
  </si>
  <si>
    <t xml:space="preserve">III</t>
  </si>
  <si>
    <t xml:space="preserve">75 KVA</t>
  </si>
  <si>
    <t xml:space="preserve">RUA PEDRO MUNIZ, 250, DEMÓCRITO ROCHA, Fortaleza - CE, Brasil</t>
  </si>
  <si>
    <t xml:space="preserve">401</t>
  </si>
  <si>
    <t xml:space="preserve">CEI JOSE CARLOS DA COSTA RIBEIRO</t>
  </si>
  <si>
    <t xml:space="preserve">TV. BRASIL, 70</t>
  </si>
  <si>
    <t xml:space="preserve">QUINTINO CUNHA</t>
  </si>
  <si>
    <t xml:space="preserve">TV. BRASIL, 70, QUINTINO CUNHA, Fortaleza - CE, Brasil</t>
  </si>
  <si>
    <t xml:space="preserve">406</t>
  </si>
  <si>
    <t xml:space="preserve">CEI MARIA ZELIA CORREIA DE SOUZA</t>
  </si>
  <si>
    <t xml:space="preserve">RUA ANTÔNIO PEREIRA, 1495</t>
  </si>
  <si>
    <t xml:space="preserve">PLANALTO AYRTON SENNA</t>
  </si>
  <si>
    <t xml:space="preserve">RUA ANTÔNIO PEREIRA, 1495, PLANALTO AYRTON SENNA, Fortaleza - CE, Brasil</t>
  </si>
  <si>
    <t xml:space="preserve">408</t>
  </si>
  <si>
    <t xml:space="preserve">CEI FRANCISCO ANDRADE TEOFILO GIRAO</t>
  </si>
  <si>
    <t xml:space="preserve">RUA DOM ANTÔNIO LUSTOSA, 191</t>
  </si>
  <si>
    <t xml:space="preserve">PASSARÉ</t>
  </si>
  <si>
    <t xml:space="preserve">RUA DOM ANTÔNIO LUSTOSA, 191, PASSARÉ, Fortaleza - CE, Brasil</t>
  </si>
  <si>
    <t xml:space="preserve">411</t>
  </si>
  <si>
    <t xml:space="preserve">CEI HILZA DIOGO CALS</t>
  </si>
  <si>
    <t xml:space="preserve">RUA SILVINO, 31</t>
  </si>
  <si>
    <t xml:space="preserve">RUA SILVINO, 31, NOVO MONDUBIM, Fortaleza - CE, Brasil</t>
  </si>
  <si>
    <t xml:space="preserve">412</t>
  </si>
  <si>
    <t xml:space="preserve">CEI VIRGILIO TAVORA</t>
  </si>
  <si>
    <t xml:space="preserve">AV. MONSENHOR HÉLIO CAMPOS, S/N</t>
  </si>
  <si>
    <t xml:space="preserve">CRISTO REDENTOR</t>
  </si>
  <si>
    <t xml:space="preserve">AV. MONSENHOR HÉLIO CAMPOS, S/N, CRISTO REDENTOR, Fortaleza - CE, Brasil</t>
  </si>
  <si>
    <t xml:space="preserve">413</t>
  </si>
  <si>
    <t xml:space="preserve">CEI PROJETO NASCENTE</t>
  </si>
  <si>
    <t xml:space="preserve">RUA BETEL, S/N</t>
  </si>
  <si>
    <t xml:space="preserve">RACHEL DE QUEIROZ</t>
  </si>
  <si>
    <t xml:space="preserve">RUA BETEL, S/N, RACHEL DE QUEIROZ, Fortaleza - CE, Brasil</t>
  </si>
  <si>
    <t xml:space="preserve">418</t>
  </si>
  <si>
    <t xml:space="preserve">CEI ODILON GONZAGA BRAVEZA - UND II</t>
  </si>
  <si>
    <t xml:space="preserve">RUA MAESTRO NÉO MIRANDA, 220</t>
  </si>
  <si>
    <t xml:space="preserve">BOA VISTA/CASTELÃO</t>
  </si>
  <si>
    <t xml:space="preserve">RUA MAESTRO NÉO MIRANDA, 220, BOA VISTA/CASTELÃO, Fortaleza - CE, Brasil</t>
  </si>
  <si>
    <t xml:space="preserve">422</t>
  </si>
  <si>
    <t xml:space="preserve">CEI PAPA JOAO XXIII</t>
  </si>
  <si>
    <t xml:space="preserve">RUA TREZE DE ABRIL, 595 A</t>
  </si>
  <si>
    <t xml:space="preserve">VILA UNIÃO</t>
  </si>
  <si>
    <t xml:space="preserve">RUA TREZE DE ABRIL, 595 A, VILA UNIÃO, Fortaleza - CE, Brasil</t>
  </si>
  <si>
    <t xml:space="preserve">423</t>
  </si>
  <si>
    <t xml:space="preserve">CEI JOSE BATISTA DE OLIVEIRA</t>
  </si>
  <si>
    <t xml:space="preserve">RUA MINAS GERAIS, S/N</t>
  </si>
  <si>
    <t xml:space="preserve">PANAMERICANO</t>
  </si>
  <si>
    <t xml:space="preserve">RUA MINAS GERAIS, S/N, PANAMERICANO, Fortaleza - CE, Brasil</t>
  </si>
  <si>
    <t xml:space="preserve">424</t>
  </si>
  <si>
    <t xml:space="preserve">CEI VICENTE FIALHO</t>
  </si>
  <si>
    <t xml:space="preserve">RUA IRMÃ BAZET, 193</t>
  </si>
  <si>
    <t xml:space="preserve">MONTESE</t>
  </si>
  <si>
    <t xml:space="preserve">RUA IRMÃ BAZET, 193, MONTESE, Fortaleza - CE, Brasil</t>
  </si>
  <si>
    <t xml:space="preserve">426</t>
  </si>
  <si>
    <t xml:space="preserve">CEI PROFESSORA ANTONIETA CALS</t>
  </si>
  <si>
    <t xml:space="preserve">RUA JÚLIA VASCONCELOS, 67</t>
  </si>
  <si>
    <t xml:space="preserve">TAUAPE</t>
  </si>
  <si>
    <t xml:space="preserve">RUA JÚLIA VASCONCELOS, 67, TAUAPE, Fortaleza - CE, Brasil</t>
  </si>
  <si>
    <t xml:space="preserve">427</t>
  </si>
  <si>
    <t xml:space="preserve">CEI CASIMIRO JOSE DE LIMA FILHO</t>
  </si>
  <si>
    <t xml:space="preserve">AV. FRANCISCO SÁ, 6449</t>
  </si>
  <si>
    <t xml:space="preserve">BARRA DO CEARÁ</t>
  </si>
  <si>
    <t xml:space="preserve">AV. FRANCISCO SÁ, 6449, BARRA DO CEARÁ, Fortaleza - CE, Brasil</t>
  </si>
  <si>
    <t xml:space="preserve">435</t>
  </si>
  <si>
    <t xml:space="preserve">CEI REITOR ANTONIO MARTINS FILHO</t>
  </si>
  <si>
    <t xml:space="preserve">RUA HUMBERTO LOMEU, 1222</t>
  </si>
  <si>
    <t xml:space="preserve">GRANJA PORTUGAL</t>
  </si>
  <si>
    <t xml:space="preserve">RUA HUMBERTO LOMEU, 1222, GRANJA PORTUGAL, Fortaleza - CE, Brasil</t>
  </si>
  <si>
    <t xml:space="preserve">436</t>
  </si>
  <si>
    <t xml:space="preserve">CEI MANUEL LIMA SOARES</t>
  </si>
  <si>
    <t xml:space="preserve">RUA 130, 60 (CONJUNTO TUPÃ MIRIM)</t>
  </si>
  <si>
    <t xml:space="preserve">PARQUE DOIS IRMÃOS</t>
  </si>
  <si>
    <t xml:space="preserve">RUA 130, 60 (CONJUNTO TUPÃ MIRIM), PARQUE DOIS IRMÃOS, Fortaleza - CE, Brasil</t>
  </si>
  <si>
    <t xml:space="preserve">439</t>
  </si>
  <si>
    <t xml:space="preserve">CEI JONATHAN DA ROCHA ALCOFORADO</t>
  </si>
  <si>
    <t xml:space="preserve">RUA JACANAUBA, 89</t>
  </si>
  <si>
    <t xml:space="preserve">MONDUBIM</t>
  </si>
  <si>
    <t xml:space="preserve">RUA JACANAUBA, 89, MONDUBIM, Fortaleza - CE, Brasil</t>
  </si>
  <si>
    <t xml:space="preserve">440</t>
  </si>
  <si>
    <t xml:space="preserve">CEI JOAO MENDES DE ANDRADE</t>
  </si>
  <si>
    <t xml:space="preserve">RUA DESCARTES BRAGA, 4222</t>
  </si>
  <si>
    <t xml:space="preserve">RUA DESCARTES BRAGA, 4222, GRANJA LISBOA, Fortaleza - CE, Brasil</t>
  </si>
  <si>
    <t xml:space="preserve">441</t>
  </si>
  <si>
    <t xml:space="preserve">CEI DOM HELDER CAMARA</t>
  </si>
  <si>
    <t xml:space="preserve">RUA FREI ODILON, 623</t>
  </si>
  <si>
    <t xml:space="preserve">FLORESTA</t>
  </si>
  <si>
    <t xml:space="preserve">RUA FREI ODILON, 623, FLORESTA, Fortaleza - CE, Brasil</t>
  </si>
  <si>
    <t xml:space="preserve">445</t>
  </si>
  <si>
    <t xml:space="preserve">CEI PROFESSOR MARTINZ DE AGUIAR</t>
  </si>
  <si>
    <t xml:space="preserve">RUA BERNARDO PORTO, 490</t>
  </si>
  <si>
    <t xml:space="preserve">MONTE CASTELO</t>
  </si>
  <si>
    <t xml:space="preserve">RUA BERNARDO PORTO, 490, MONTE CASTELO, Fortaleza - CE, Brasil</t>
  </si>
  <si>
    <t xml:space="preserve">450</t>
  </si>
  <si>
    <t xml:space="preserve">CEI PROFESSOR FRANCISCO MAURICIO DE MATTOS DOURADO</t>
  </si>
  <si>
    <t xml:space="preserve">RUA MARAMALDO CAMPELO, 50</t>
  </si>
  <si>
    <t xml:space="preserve">EDSON QUEIROZ</t>
  </si>
  <si>
    <t xml:space="preserve">RUA MARAMALDO CAMPELO, 50, EDSON QUEIROZ, Fortaleza - CE, Brasil</t>
  </si>
  <si>
    <t xml:space="preserve">451</t>
  </si>
  <si>
    <t xml:space="preserve">CEI  ALDEIDES REGIS</t>
  </si>
  <si>
    <t xml:space="preserve">RUA IRINEU DE SOUSA, 188</t>
  </si>
  <si>
    <t xml:space="preserve">RUA IRINEU DE SOUSA, 188, CRISTO REDENTOR, Fortaleza - CE, Brasil</t>
  </si>
  <si>
    <t xml:space="preserve">456</t>
  </si>
  <si>
    <t xml:space="preserve">CEI MARIA MARIZA MENDES DE CARVALHO</t>
  </si>
  <si>
    <t xml:space="preserve">RUA RAIMUNDO CUNHA, 1174</t>
  </si>
  <si>
    <t xml:space="preserve">VILA VELHA</t>
  </si>
  <si>
    <t xml:space="preserve">RUA RAIMUNDO CUNHA, 1174, VILA VELHA, Fortaleza - CE, Brasil</t>
  </si>
  <si>
    <t xml:space="preserve">460</t>
  </si>
  <si>
    <t xml:space="preserve">CEI JOAQUIM NOGUEIRA</t>
  </si>
  <si>
    <t xml:space="preserve">RUA SÃO VICENTE DE PAULA, 250A</t>
  </si>
  <si>
    <t xml:space="preserve">ANTÔNIO BEZERRA</t>
  </si>
  <si>
    <t xml:space="preserve">RUA SÃO VICENTE DE PAULA, 250A, ANTÔNIO BEZERRA, Fortaleza - CE, Brasil</t>
  </si>
  <si>
    <t xml:space="preserve">461</t>
  </si>
  <si>
    <t xml:space="preserve">CEI PROFESSOR OSMIRIO DE OLIVEIRA BARRETO</t>
  </si>
  <si>
    <t xml:space="preserve">RUA 10, S/N (CONJUNTO SÍTIO CÓRREGO)</t>
  </si>
  <si>
    <t xml:space="preserve">RUA 10, S/N (CONJUNTO SÍTIO CÓRREGO), MONDUBIM, Fortaleza - CE, Brasil</t>
  </si>
  <si>
    <t xml:space="preserve">464</t>
  </si>
  <si>
    <t xml:space="preserve">CEI MARIA DE CARVALHO MARTINS</t>
  </si>
  <si>
    <t xml:space="preserve">RUA GIRASSOL, 649</t>
  </si>
  <si>
    <t xml:space="preserve">ITAPERI</t>
  </si>
  <si>
    <t xml:space="preserve">RUA GIRASSOL, 649, ITAPERI, Fortaleza - CE, Brasil</t>
  </si>
  <si>
    <t xml:space="preserve">465</t>
  </si>
  <si>
    <t xml:space="preserve">CEI MARCOS VALENTIM PEREIRA DE SOUZA</t>
  </si>
  <si>
    <t xml:space="preserve">RUA FREIRE ALEMÃO, 91</t>
  </si>
  <si>
    <t xml:space="preserve">SERRINHA</t>
  </si>
  <si>
    <t xml:space="preserve">RUA FREIRE ALEMÃO, 91, SERRINHA, Fortaleza - CE, Brasil</t>
  </si>
  <si>
    <t xml:space="preserve">483</t>
  </si>
  <si>
    <t xml:space="preserve">CEI PROFESSORA ANTONIA MARIA DE LIMA</t>
  </si>
  <si>
    <t xml:space="preserve">RUA GERALDO BARBOSA, 3923</t>
  </si>
  <si>
    <t xml:space="preserve">RUA GERALDO BARBOSA, 3923, GRANJA LISBOA, Fortaleza - CE, Brasil</t>
  </si>
  <si>
    <t xml:space="preserve">492</t>
  </si>
  <si>
    <t xml:space="preserve">CEI PROFESSOR JACINTO BOTELHO</t>
  </si>
  <si>
    <t xml:space="preserve">RUA CEL. MANOEL ALBANO, 288</t>
  </si>
  <si>
    <t xml:space="preserve">RUA CEL. MANOEL ALBANO, 288, MONDUBIM, Fortaleza - CE, Brasil</t>
  </si>
  <si>
    <t xml:space="preserve">504</t>
  </si>
  <si>
    <t xml:space="preserve">CEI PADRE CICERO ROMAO BATISTA</t>
  </si>
  <si>
    <t xml:space="preserve">RUA 106, 377</t>
  </si>
  <si>
    <t xml:space="preserve">CONJUNTO ESPERANÇA</t>
  </si>
  <si>
    <t xml:space="preserve">RUA 106, 377, CONJUNTO ESPERANÇA, Fortaleza - CE, Brasil</t>
  </si>
  <si>
    <t xml:space="preserve">1292</t>
  </si>
  <si>
    <t xml:space="preserve">CEI IVANILSON SOUZA LIMA COSTA</t>
  </si>
  <si>
    <t xml:space="preserve">AV. C, S/N (CONJUNTO ARACAPÉ)</t>
  </si>
  <si>
    <t xml:space="preserve">ARACAPÉ</t>
  </si>
  <si>
    <t xml:space="preserve">AV. C, S/N (CONJUNTO ARACAPÉ), ARACAPÉ, Fortaleza - CE, Brasil</t>
  </si>
  <si>
    <t xml:space="preserve">394</t>
  </si>
  <si>
    <t xml:space="preserve">CEI ALGODAO DOCE</t>
  </si>
  <si>
    <t xml:space="preserve">RUA JOSÉ QUEIROZ PORTO, 25</t>
  </si>
  <si>
    <t xml:space="preserve">PARANGABA</t>
  </si>
  <si>
    <t xml:space="preserve">RUA JOSÉ QUEIROZ PORTO, 25, PARANGABA, Fortaleza - CE, Brasil</t>
  </si>
  <si>
    <t xml:space="preserve">396</t>
  </si>
  <si>
    <t xml:space="preserve">CEI FREI AGOSTINHO FERNANDES</t>
  </si>
  <si>
    <t xml:space="preserve">AV. CÉSAR CALS, 2370</t>
  </si>
  <si>
    <t xml:space="preserve">PRAIA DO FUTURO I</t>
  </si>
  <si>
    <t xml:space="preserve">AV. CÉSAR CALS, 2370, PRAIA DO FUTURO I, Fortaleza - CE, Brasil</t>
  </si>
  <si>
    <t xml:space="preserve">399</t>
  </si>
  <si>
    <t xml:space="preserve">CEI DOIS DE DEZEMBRO</t>
  </si>
  <si>
    <t xml:space="preserve">RUA ARAQUÉM, 860</t>
  </si>
  <si>
    <t xml:space="preserve">RUA ARAQUÉM, 860, BARRA DO CEARÁ, Fortaleza - CE, Brasil</t>
  </si>
  <si>
    <t xml:space="preserve">421</t>
  </si>
  <si>
    <t xml:space="preserve">CEI TEODORICO BARROSO</t>
  </si>
  <si>
    <t xml:space="preserve">RUA HELVÉCIO MONTE, 751</t>
  </si>
  <si>
    <t xml:space="preserve">RUA HELVÉCIO MONTE, 751, VILA UNIÃO, Fortaleza - CE, Brasil</t>
  </si>
  <si>
    <t xml:space="preserve">437</t>
  </si>
  <si>
    <t xml:space="preserve">CEI ALAIDE AUGUSTO DE OLIVEIRA</t>
  </si>
  <si>
    <t xml:space="preserve">RUA E, 187 (CONJUNTO IMPERIAL)</t>
  </si>
  <si>
    <t xml:space="preserve">RUA E, 187 (CONJUNTO IMPERIAL), CONJUNTO ESPERANÇA, Fortaleza - CE, Brasil</t>
  </si>
  <si>
    <t xml:space="preserve">125</t>
  </si>
  <si>
    <t xml:space="preserve">ESCOLA MUNICIPAL CASTELO DE CASTRO</t>
  </si>
  <si>
    <t xml:space="preserve">RUA 43, 1531 (CONJUNTO DOS BANCÁRIOS)</t>
  </si>
  <si>
    <t xml:space="preserve">RUA 43, 1531 (CONJUNTO DOS BANCÁRIOS), VILA VELHA, Fortaleza - CE, Brasil</t>
  </si>
  <si>
    <t xml:space="preserve">485</t>
  </si>
  <si>
    <t xml:space="preserve">CEI ROCHA LIMA</t>
  </si>
  <si>
    <t xml:space="preserve">RUA ERETIDES MARTINS, 977</t>
  </si>
  <si>
    <t xml:space="preserve">SÃO GERARDO</t>
  </si>
  <si>
    <t xml:space="preserve">RUA ERETIDES MARTINS, 977, SÃO GERARDO, Fortaleza - CE, Brasil</t>
  </si>
  <si>
    <t xml:space="preserve">489</t>
  </si>
  <si>
    <t xml:space="preserve">CEI SANTA MARIA</t>
  </si>
  <si>
    <t xml:space="preserve">RUA CUIABÁ, 1465</t>
  </si>
  <si>
    <t xml:space="preserve">HENRIQUE JORGE</t>
  </si>
  <si>
    <t xml:space="preserve">RUA CUIABÁ, 1465, HENRIQUE JORGE, Fortaleza - CE, Brasil</t>
  </si>
  <si>
    <t xml:space="preserve">784</t>
  </si>
  <si>
    <t xml:space="preserve">EMTI</t>
  </si>
  <si>
    <t xml:space="preserve">ESCOLA MUNICIPAL DE TEMPO INTEGRAL AMBIENTAL DRA. FRANCISCA DE ASSIS CANITO DA FROTA</t>
  </si>
  <si>
    <t xml:space="preserve">RUA MONSENHOR SALAZAR, 2432</t>
  </si>
  <si>
    <t xml:space="preserve">RUA MONSENHOR SALAZAR, 2432, TAUAPE, Fortaleza - CE, Brasil</t>
  </si>
  <si>
    <t xml:space="preserve">495</t>
  </si>
  <si>
    <t xml:space="preserve">CEI PROFESSORA BELARMINA CAMPOS</t>
  </si>
  <si>
    <t xml:space="preserve">RUA DOUTOR MANOEL RODRIGUES MONTEIRO, 840</t>
  </si>
  <si>
    <t xml:space="preserve">VICENTE PINZÓN</t>
  </si>
  <si>
    <t xml:space="preserve">RUA DOUTOR MANOEL RODRIGUES MONTEIRO, 840, VICENTE PINZÓN, Fortaleza - CE, Brasil</t>
  </si>
  <si>
    <t xml:space="preserve">212</t>
  </si>
  <si>
    <t xml:space="preserve">ESCOLA MUNICIPAL GABRIEL CAVALCANTE</t>
  </si>
  <si>
    <t xml:space="preserve">QUADRA F, 167 (CONJUNTO PRESIDENTE CASTELO BRANCO)</t>
  </si>
  <si>
    <t xml:space="preserve">PRESIDENTE KENNEDY</t>
  </si>
  <si>
    <t xml:space="preserve">QUADRA F, 167 (CONJUNTO PRESIDENTE CASTELO BRANCO), PRESIDENTE KENNEDY, Fortaleza - CE, Brasil</t>
  </si>
  <si>
    <t xml:space="preserve">779</t>
  </si>
  <si>
    <t xml:space="preserve">CEI BERGSON GURJAO DE FARIAS</t>
  </si>
  <si>
    <t xml:space="preserve">AV. SENADOR FERNANDES TÁVORA, 2500</t>
  </si>
  <si>
    <t xml:space="preserve">DOM LUSTOSA</t>
  </si>
  <si>
    <t xml:space="preserve">AV. SENADOR FERNANDES TÁVORA, 2500, DOM LUSTOSA, Fortaleza - CE, Brasil</t>
  </si>
  <si>
    <t xml:space="preserve">787</t>
  </si>
  <si>
    <t xml:space="preserve">CEI SAO VICENTE DE PAULO</t>
  </si>
  <si>
    <t xml:space="preserve">TRAV. DO ROSÁRIO, 24</t>
  </si>
  <si>
    <t xml:space="preserve">ALDEOTA</t>
  </si>
  <si>
    <t xml:space="preserve">TRAV. DO ROSÁRIO, 24, ALDEOTA, Fortaleza - CE, Brasil</t>
  </si>
  <si>
    <t xml:space="preserve">819</t>
  </si>
  <si>
    <t xml:space="preserve">ANE</t>
  </si>
  <si>
    <t xml:space="preserve">ESCOLA MUNICIPAL CRESCER E APRENDER- UND II</t>
  </si>
  <si>
    <t xml:space="preserve">RUA MIRTES CORDEIRO, 700</t>
  </si>
  <si>
    <t xml:space="preserve">RUA MIRTES CORDEIRO, 700, GRANJA PORTUGAL, Fortaleza - CE, Brasil</t>
  </si>
  <si>
    <t xml:space="preserve">87</t>
  </si>
  <si>
    <t xml:space="preserve">ESCOLA MUNICIPAL RACHEL DE QUEIROZ*</t>
  </si>
  <si>
    <t xml:space="preserve">AV. C, 559</t>
  </si>
  <si>
    <t xml:space="preserve">AV. C, 559, PREFEITO JOSÉ WALTER, Fortaleza - CE, Brasil</t>
  </si>
  <si>
    <t xml:space="preserve">332</t>
  </si>
  <si>
    <t xml:space="preserve">ESCOLA MUNICIPAL MURILO SERPA</t>
  </si>
  <si>
    <t xml:space="preserve">RUA MONSENHOR HIPÓLITO BRASIL, 1400</t>
  </si>
  <si>
    <t xml:space="preserve">PENDENTE ELÉTRICA</t>
  </si>
  <si>
    <t xml:space="preserve">RUA MONSENHOR HIPÓLITO BRASIL, 1400, DOM LUSTOSA, Fortaleza - CE, Brasil</t>
  </si>
  <si>
    <t xml:space="preserve">134</t>
  </si>
  <si>
    <t xml:space="preserve">ESCOLA MUNICIPAL GUSTAVO BARROSO</t>
  </si>
  <si>
    <t xml:space="preserve">RUA ERETIDES MARTINS, 26</t>
  </si>
  <si>
    <t xml:space="preserve">RUA ERETIDES MARTINS, 26, SÃO GERARDO, Fortaleza - CE, Brasil</t>
  </si>
  <si>
    <t xml:space="preserve">300</t>
  </si>
  <si>
    <t xml:space="preserve">ESCOLA MUNICIPAL DE TEMPO INTEGRAL ALDEMIR MARTINS </t>
  </si>
  <si>
    <t xml:space="preserve">AV. FRANCISCO SÁ, 7460</t>
  </si>
  <si>
    <t xml:space="preserve">AV. FRANCISCO SÁ, 7460, BARRA DO CEARÁ, Fortaleza - CE, Brasil</t>
  </si>
  <si>
    <t xml:space="preserve">252</t>
  </si>
  <si>
    <t xml:space="preserve">ESCOLA MUNICIPAL DE TEMPO INTEGRAL DELMA HERMINIA DA SILVA PEREIRA </t>
  </si>
  <si>
    <t xml:space="preserve">AV. PRESIDENTE COSTA E SILVA, 5606</t>
  </si>
  <si>
    <t xml:space="preserve">A.S.4026-26</t>
  </si>
  <si>
    <t xml:space="preserve">AV. PRESIDENTE COSTA E SILVA, 5606, PASSARÉ, Fortaleza - CE, Brasil</t>
  </si>
  <si>
    <t xml:space="preserve">383</t>
  </si>
  <si>
    <t xml:space="preserve">CEI JOSE MOREIRA LEITAO</t>
  </si>
  <si>
    <t xml:space="preserve">RUA PEDRO DE SOUSA, 800</t>
  </si>
  <si>
    <t xml:space="preserve">PARQUE SANTA MARIA</t>
  </si>
  <si>
    <t xml:space="preserve">VI</t>
  </si>
  <si>
    <t xml:space="preserve">RUA PEDRO DE SOUSA, 800, PARQUE SANTA MARIA, Fortaleza - CE, Brasil</t>
  </si>
  <si>
    <t xml:space="preserve">389</t>
  </si>
  <si>
    <t xml:space="preserve">CEI RAIMUNDO MOREIRA SENA</t>
  </si>
  <si>
    <t xml:space="preserve">RUA A, 106 (CONJUNTO NOVA RESIDÊNCIA)</t>
  </si>
  <si>
    <t xml:space="preserve">RUA A, 106 (CONJUNTO NOVA RESIDÊNCIA), GRANJA LISBOA, Fortaleza - CE, Brasil</t>
  </si>
  <si>
    <t xml:space="preserve">405</t>
  </si>
  <si>
    <t xml:space="preserve">CEI FRANCISCO EDMILSON PINHEIRO*</t>
  </si>
  <si>
    <t xml:space="preserve">AV. H, 2115</t>
  </si>
  <si>
    <t xml:space="preserve">AV. H, 2115, GRANJA LISBOA, Fortaleza - CE, Brasil</t>
  </si>
  <si>
    <t xml:space="preserve">416</t>
  </si>
  <si>
    <t xml:space="preserve">CEI PROFESSORA FERNANDA MARIA ALENCAR COLARES</t>
  </si>
  <si>
    <t xml:space="preserve">RUA RAQUEL FLORÊNCIO, 351</t>
  </si>
  <si>
    <t xml:space="preserve">LAGOA REDONDA</t>
  </si>
  <si>
    <t xml:space="preserve">RUA RAQUEL FLORÊNCIO, 351, LAGOA REDONDA, Fortaleza - CE, Brasil</t>
  </si>
  <si>
    <t xml:space="preserve">417</t>
  </si>
  <si>
    <t xml:space="preserve">CEI ODILON GONZAGA BRAVEZA</t>
  </si>
  <si>
    <t xml:space="preserve">AV. ALBERTO CRAVEIRO, 1480B</t>
  </si>
  <si>
    <t xml:space="preserve">AV. ALBERTO CRAVEIRO, 1480B, BOA VISTA/CASTELÃO, Fortaleza - CE, Brasil</t>
  </si>
  <si>
    <t xml:space="preserve">425</t>
  </si>
  <si>
    <t xml:space="preserve">CEI MARIA DAS DORES DE SOUSA SILVA</t>
  </si>
  <si>
    <t xml:space="preserve">RUA MARIA MIRTES PEREIRA, 1005</t>
  </si>
  <si>
    <t xml:space="preserve">RUA MARIA MIRTES PEREIRA, 1005, PASSARÉ, Fortaleza - CE, Brasil</t>
  </si>
  <si>
    <t xml:space="preserve">449</t>
  </si>
  <si>
    <t xml:space="preserve">CEI MARIA HELENILCE CAVALCANTE LEITE MARTINS</t>
  </si>
  <si>
    <t xml:space="preserve">RUA MAÍZA, 81</t>
  </si>
  <si>
    <t xml:space="preserve">CONJUNTO PALMEIRAS</t>
  </si>
  <si>
    <t xml:space="preserve">RUA MAÍZA, 81, CONJUNTO PALMEIRAS, Fortaleza - CE, Brasil</t>
  </si>
  <si>
    <t xml:space="preserve">454</t>
  </si>
  <si>
    <t xml:space="preserve">CEI PROFESSORA TEREZINHA FERREIRA PARENTE</t>
  </si>
  <si>
    <t xml:space="preserve">RUA NELSON COELHO, 209</t>
  </si>
  <si>
    <t xml:space="preserve">RUA NELSON COELHO, 209, LAGOA REDONDA, Fortaleza - CE, Brasil</t>
  </si>
  <si>
    <t xml:space="preserve">458</t>
  </si>
  <si>
    <t xml:space="preserve">CEI RACHEL DE QUEIROZ *</t>
  </si>
  <si>
    <t xml:space="preserve">RUA 41, S/N</t>
  </si>
  <si>
    <t xml:space="preserve">RUA 41, S/N, PREFEITO JOSÉ WALTER, Fortaleza - CE, Brasil</t>
  </si>
  <si>
    <t xml:space="preserve">466</t>
  </si>
  <si>
    <t xml:space="preserve">CEI FLORIVAL ALVES SERAINE</t>
  </si>
  <si>
    <t xml:space="preserve">RUA JOSÉ ASSIS DE OLIVEIRA, 1324</t>
  </si>
  <si>
    <t xml:space="preserve">CANINDEZINHO</t>
  </si>
  <si>
    <t xml:space="preserve">RUA JOSÉ ASSIS DE OLIVEIRA, 1324, CANINDEZINHO, Fortaleza - CE, Brasil</t>
  </si>
  <si>
    <t xml:space="preserve">468</t>
  </si>
  <si>
    <t xml:space="preserve">CEI PROFESSOR FRANCISCO DE MELO JABORANDI</t>
  </si>
  <si>
    <t xml:space="preserve">AV. GOVERNADOR LEONEL BRIZOLA, 198A</t>
  </si>
  <si>
    <t xml:space="preserve">JANGURUSSU</t>
  </si>
  <si>
    <t xml:space="preserve">AV. GOVERNADOR LEONEL BRIZOLA, 198A, JANGURUSSU, Fortaleza - CE, Brasil</t>
  </si>
  <si>
    <t xml:space="preserve">470</t>
  </si>
  <si>
    <t xml:space="preserve">CEI CONEGO FRANCISCO PEREIRA DA SILVA</t>
  </si>
  <si>
    <t xml:space="preserve">RUA MARIA DE LOURDES LIMA, 60</t>
  </si>
  <si>
    <t xml:space="preserve">SÃO BENTO</t>
  </si>
  <si>
    <t xml:space="preserve">RUA MARIA DE LOURDES LIMA, 60, SÃO BENTO, Fortaleza - CE, Brasil</t>
  </si>
  <si>
    <t xml:space="preserve">473</t>
  </si>
  <si>
    <t xml:space="preserve">CEI DOM JOSE TUPINAMBA DA FROTA</t>
  </si>
  <si>
    <t xml:space="preserve">RUA RIO GRANDE DO SUL, S/N</t>
  </si>
  <si>
    <t xml:space="preserve">BELA VISTA</t>
  </si>
  <si>
    <t xml:space="preserve">150 KVA</t>
  </si>
  <si>
    <t xml:space="preserve">RUA RIO GRANDE DO SUL, S/N, BELA VISTA, Fortaleza - CE, Brasil</t>
  </si>
  <si>
    <t xml:space="preserve">479</t>
  </si>
  <si>
    <t xml:space="preserve">CEI FRANCISCA FERNANDES MAGALHAES</t>
  </si>
  <si>
    <t xml:space="preserve">RUA TAQUARI, S/N</t>
  </si>
  <si>
    <t xml:space="preserve">BONSUCESSO</t>
  </si>
  <si>
    <t xml:space="preserve">RUA TAQUARI, S/N, BONSUCESSO, Fortaleza - CE, Brasil</t>
  </si>
  <si>
    <t xml:space="preserve">253</t>
  </si>
  <si>
    <t xml:space="preserve">ESCOLA MUNICIPAL DE TEMPO INTEGRAL JOSE CARVALHO </t>
  </si>
  <si>
    <t xml:space="preserve">RUA CLODOALDO ARRUDA, 1300</t>
  </si>
  <si>
    <t xml:space="preserve">JOSÉ DE ALENCAR</t>
  </si>
  <si>
    <t xml:space="preserve">RUA CLODOALDO ARRUDA, 1300, JOSÉ DE ALENCAR, Fortaleza - CE, Brasil</t>
  </si>
  <si>
    <t xml:space="preserve">135</t>
  </si>
  <si>
    <t xml:space="preserve">ESCOLA MUNICIPAL DE TEMPO INTEGRAL DOM ANTONIO DE ALMEIDA LUSTOSA </t>
  </si>
  <si>
    <t xml:space="preserve">RUA GERALDO BARBOSA, 3901</t>
  </si>
  <si>
    <t xml:space="preserve">RUA GERALDO BARBOSA, 3901, GRANJA LISBOA, Fortaleza - CE, Brasil</t>
  </si>
  <si>
    <t xml:space="preserve">215</t>
  </si>
  <si>
    <t xml:space="preserve">ESCOLA MUNICIPAL PROFESSOR JOSE SOBREIRA DE AMORIM</t>
  </si>
  <si>
    <t xml:space="preserve">RUA ESTRADA DO PICI, 1083</t>
  </si>
  <si>
    <t xml:space="preserve">A.S.3975-26</t>
  </si>
  <si>
    <t xml:space="preserve">RUA ESTRADA DO PICI, 1083, HENRIQUE JORGE, Fortaleza - CE, Brasil</t>
  </si>
  <si>
    <t xml:space="preserve">292</t>
  </si>
  <si>
    <t xml:space="preserve">ESCOLA MUNICIPAL TERTULIANO CAMBRAIA</t>
  </si>
  <si>
    <t xml:space="preserve">184</t>
  </si>
  <si>
    <t xml:space="preserve">ESCOLA MUNICIPAL CONCEICAO MOURAO </t>
  </si>
  <si>
    <t xml:space="preserve">RUA DUAS NAÇÕES, 551</t>
  </si>
  <si>
    <t xml:space="preserve">RUA DUAS NAÇÕES, 551, GRANJA PORTUGAL, Fortaleza - CE, Brasil</t>
  </si>
  <si>
    <t xml:space="preserve">330</t>
  </si>
  <si>
    <t xml:space="preserve">ESCOLA MUNICIPAL PROFESSOR MARTINZ DE AGUIAR</t>
  </si>
  <si>
    <t xml:space="preserve">RUA BERNARDO PORTO, 470</t>
  </si>
  <si>
    <t xml:space="preserve">A.S.4047-26</t>
  </si>
  <si>
    <t xml:space="preserve">RUA BERNARDO PORTO, 470, MONTE CASTELO, Fortaleza - CE, Brasil</t>
  </si>
  <si>
    <t xml:space="preserve">341</t>
  </si>
  <si>
    <t xml:space="preserve">ESCOLA MUNICIPAL MANUEL LIMA SOARES</t>
  </si>
  <si>
    <t xml:space="preserve">163</t>
  </si>
  <si>
    <t xml:space="preserve">ESCOLA MUNICIPAL CONEGO FRANCISCO PEREIRA DA SILVA</t>
  </si>
  <si>
    <t xml:space="preserve">RUA LUIZ FRANCISCO XAVIER, 256</t>
  </si>
  <si>
    <t xml:space="preserve">PAUPINA</t>
  </si>
  <si>
    <t xml:space="preserve">A.S.4104-26</t>
  </si>
  <si>
    <t xml:space="preserve">RUA LUIZ FRANCISCO XAVIER, 256, PAUPINA, Fortaleza - CE, Brasil</t>
  </si>
  <si>
    <t xml:space="preserve">285</t>
  </si>
  <si>
    <t xml:space="preserve">CEI PROFESSORA MARIA EVAN DO CARMO</t>
  </si>
  <si>
    <t xml:space="preserve">RUA MATEUS ALMEIDA, 71</t>
  </si>
  <si>
    <t xml:space="preserve">RUA MATEUS ALMEIDA, 71, JOSÉ DE ALENCAR, Fortaleza - CE, Brasil</t>
  </si>
  <si>
    <t xml:space="preserve">290</t>
  </si>
  <si>
    <t xml:space="preserve">ESCOLA MUNICIPAL IRMA ROCHA</t>
  </si>
  <si>
    <t xml:space="preserve">RUA EMÍLIO DE MENEZES, 2515</t>
  </si>
  <si>
    <t xml:space="preserve">RUA EMÍLIO DE MENEZES, 2515, GRANJA PORTUGAL, Fortaleza - CE, Brasil</t>
  </si>
  <si>
    <t xml:space="preserve">467</t>
  </si>
  <si>
    <t xml:space="preserve">CEI ALMERINDA DE ALBUQUERQUE</t>
  </si>
  <si>
    <t xml:space="preserve">TRAV. LIBERTADORES, 57</t>
  </si>
  <si>
    <t xml:space="preserve">1. VISTORIA</t>
  </si>
  <si>
    <t xml:space="preserve">A.S.4107-26</t>
  </si>
  <si>
    <t xml:space="preserve">TRAV. LIBERTADORES, 57, TAUAPE, Fortaleza - CE, Brasil</t>
  </si>
  <si>
    <t xml:space="preserve">491</t>
  </si>
  <si>
    <t xml:space="preserve">CEI PADRE MARCELINO ZANELLA</t>
  </si>
  <si>
    <t xml:space="preserve">RUA INGLATERRA, 222</t>
  </si>
  <si>
    <t xml:space="preserve">PENDENTE CIVIL</t>
  </si>
  <si>
    <t xml:space="preserve">RUA INGLATERRA, 222, ITAPERI, Fortaleza - CE, Brasil</t>
  </si>
  <si>
    <t xml:space="preserve">145</t>
  </si>
  <si>
    <t xml:space="preserve">ESCOLA MUNICIPAL MARIA DALVA SEVERINO MARREIRO</t>
  </si>
  <si>
    <t xml:space="preserve">RUA RIO PARAGUAI, 782</t>
  </si>
  <si>
    <t xml:space="preserve">JARDIM IRACEMA</t>
  </si>
  <si>
    <t xml:space="preserve">A.S.4105-26</t>
  </si>
  <si>
    <t xml:space="preserve">RUA RIO PARAGUAI, 782, JARDIM IRACEMA, Fortaleza - CE, Brasil</t>
  </si>
  <si>
    <t xml:space="preserve">376</t>
  </si>
  <si>
    <t xml:space="preserve">CEI CESAR CALS DE OLIVEIRA NETO</t>
  </si>
  <si>
    <t xml:space="preserve">RUA CAMPINENSE, 54</t>
  </si>
  <si>
    <t xml:space="preserve">RUA CAMPINENSE, 54, CONJUNTO PALMEIRAS, Fortaleza - CE, Brasil</t>
  </si>
  <si>
    <t xml:space="preserve">398</t>
  </si>
  <si>
    <t xml:space="preserve">CEI SAO RAFAEL</t>
  </si>
  <si>
    <t xml:space="preserve">RUA DOS TABAJARAS, 480</t>
  </si>
  <si>
    <t xml:space="preserve">PRAIA DE IRACEMA</t>
  </si>
  <si>
    <t xml:space="preserve">RUA DOS TABAJARAS, 480, PRAIA DE IRACEMA, Fortaleza - CE, Brasil</t>
  </si>
  <si>
    <t xml:space="preserve">432</t>
  </si>
  <si>
    <t xml:space="preserve">ESCOLA MUNICIPAL PROFESSORA LIREDA FACO - UND II</t>
  </si>
  <si>
    <t xml:space="preserve">RUA JOÃO XXIII, 1454</t>
  </si>
  <si>
    <t xml:space="preserve">RUA JOÃO XXIII, 1454, GRANJA PORTUGAL, Fortaleza - CE, Brasil</t>
  </si>
  <si>
    <t xml:space="preserve">433</t>
  </si>
  <si>
    <t xml:space="preserve">CEI PROFESSORA LIREDA FACO</t>
  </si>
  <si>
    <t xml:space="preserve">RUA TRÊS CORAÇÕES, 735</t>
  </si>
  <si>
    <t xml:space="preserve">RUA TRÊS CORAÇÕES, 735, GRANJA LISBOA, Fortaleza - CE, Brasil</t>
  </si>
  <si>
    <t xml:space="preserve">434</t>
  </si>
  <si>
    <t xml:space="preserve">CEI REITOR ANTONIO MARTINS FILHO - UND II</t>
  </si>
  <si>
    <t xml:space="preserve">RUA HUMBERTO LOMEU, 1220</t>
  </si>
  <si>
    <t xml:space="preserve">RUA HUMBERTO LOMEU, 1220, GRANJA PORTUGAL, Fortaleza - CE, Brasil</t>
  </si>
  <si>
    <t xml:space="preserve">371</t>
  </si>
  <si>
    <t xml:space="preserve">CEI MOURA BRASIL</t>
  </si>
  <si>
    <t xml:space="preserve">RUA ADARIAS DE LIMA, 378</t>
  </si>
  <si>
    <t xml:space="preserve">MOURA BRASIL</t>
  </si>
  <si>
    <t xml:space="preserve">A.S.4106-26</t>
  </si>
  <si>
    <t xml:space="preserve">RUA ADARIAS DE LIMA, 378, MOURA BRASIL, Fortaleza - CE, Brasil</t>
  </si>
  <si>
    <t xml:space="preserve">791</t>
  </si>
  <si>
    <t xml:space="preserve">ESCOLA MUNICIPAL IRMA ROCHA - UND II</t>
  </si>
  <si>
    <t xml:space="preserve">RUA EMÍLIO DE MENEZES, S/N</t>
  </si>
  <si>
    <t xml:space="preserve">RUA EMÍLIO DE MENEZES, S/N, GRANJA PORTUGAL, Fortaleza - CE, Brasil</t>
  </si>
  <si>
    <t xml:space="preserve">943</t>
  </si>
  <si>
    <t xml:space="preserve">ESCOLA MUNICIPAL MARILENE LOPES RABELO - UND II</t>
  </si>
  <si>
    <t xml:space="preserve">RUA MARTINS DE LIMA, 391</t>
  </si>
  <si>
    <t xml:space="preserve">PARQUE PRESIDENTE VARGAS</t>
  </si>
  <si>
    <t xml:space="preserve">RUA MARTINS DE LIMA, 391, PARQUE PRESIDENTE VARGAS, Fortaleza - CE, Brasil</t>
  </si>
  <si>
    <t xml:space="preserve">1293</t>
  </si>
  <si>
    <t xml:space="preserve">CEI IVANILSON SOUZA LIMA COSTA - UND II</t>
  </si>
  <si>
    <t xml:space="preserve">RUA POLIANA, S/N</t>
  </si>
  <si>
    <t xml:space="preserve">RUA POLIANA, S/N, ARACAPÉ, Fortaleza - CE, Brasil</t>
  </si>
  <si>
    <t xml:space="preserve">104</t>
  </si>
  <si>
    <t xml:space="preserve">ESCOLA MUNICIPAL NARCISA BORGES</t>
  </si>
  <si>
    <t xml:space="preserve">TRAV. COSTA RICA, S/N</t>
  </si>
  <si>
    <t xml:space="preserve">PADRE ANDRADE</t>
  </si>
  <si>
    <t xml:space="preserve">A.S.4111-26</t>
  </si>
  <si>
    <t xml:space="preserve">TRAV. COSTA RICA, S/N, PADRE ANDRADE, Fortaleza - CE, Brasil</t>
  </si>
  <si>
    <t xml:space="preserve">375</t>
  </si>
  <si>
    <t xml:space="preserve">CEI PROFESSOR MANUEL EDUARDO PINHEIRO CAMPOS</t>
  </si>
  <si>
    <t xml:space="preserve">RUA MIRIÚ, 500</t>
  </si>
  <si>
    <t xml:space="preserve">RUA MIRIÚ, 500, EDSON QUEIROZ, Fortaleza - CE, Brasil</t>
  </si>
  <si>
    <t xml:space="preserve">400</t>
  </si>
  <si>
    <t xml:space="preserve">CEI AGOSTINHO MOREIRA E SILVA</t>
  </si>
  <si>
    <t xml:space="preserve">RUA PERI, 20</t>
  </si>
  <si>
    <t xml:space="preserve">RUA PERI, 20, BARRA DO CEARÁ, Fortaleza - CE, Brasil</t>
  </si>
  <si>
    <t xml:space="preserve">444</t>
  </si>
  <si>
    <t xml:space="preserve">CEI PROFESSOR JOSE REBOUCAS MACAMBIRA</t>
  </si>
  <si>
    <t xml:space="preserve">RUA CARIÚS, 200</t>
  </si>
  <si>
    <t xml:space="preserve">JARDIM GUANABARA</t>
  </si>
  <si>
    <t xml:space="preserve">RUA CARIÚS, 200, JARDIM GUANABARA, Fortaleza - CE, Brasil</t>
  </si>
  <si>
    <t xml:space="preserve">211</t>
  </si>
  <si>
    <t xml:space="preserve">ESCOLA MUNICIPAL HILZA DIOGO CALS</t>
  </si>
  <si>
    <t xml:space="preserve">AV. WALDIR DIOGO, 850</t>
  </si>
  <si>
    <t xml:space="preserve">A.S.4080-26</t>
  </si>
  <si>
    <t xml:space="preserve">AV. WALDIR DIOGO, 850, NOVO MONDUBIM, Fortaleza - CE, Brasil</t>
  </si>
  <si>
    <t xml:space="preserve">763</t>
  </si>
  <si>
    <t xml:space="preserve">CEI PADRE JOSE NILSON</t>
  </si>
  <si>
    <t xml:space="preserve">RUA AÍDA BALAIO, 100</t>
  </si>
  <si>
    <t xml:space="preserve">A.S.4081-26</t>
  </si>
  <si>
    <t xml:space="preserve">RUA AÍDA BALAIO, 100, VICENTE PINZÓN, Fortaleza - CE, Brasil</t>
  </si>
  <si>
    <t xml:space="preserve">602</t>
  </si>
  <si>
    <t xml:space="preserve">CEI NOGUEIRA</t>
  </si>
  <si>
    <t xml:space="preserve">RUA P, S/N (LOT. PARAÍSO VERDE)</t>
  </si>
  <si>
    <t xml:space="preserve">SIQUEIRA</t>
  </si>
  <si>
    <t xml:space="preserve">CIVIL PRONTA</t>
  </si>
  <si>
    <t xml:space="preserve">RUA P, S/N (LOT. PARAÍSO VERDE), SIQUEIRA, Fortaleza - CE, Brasil</t>
  </si>
  <si>
    <t xml:space="preserve">457</t>
  </si>
  <si>
    <t xml:space="preserve">CEI PEDRO BOCA RICA</t>
  </si>
  <si>
    <t xml:space="preserve">RUA D, 235 (LOT. PARQUE MONTENEGRO II)</t>
  </si>
  <si>
    <t xml:space="preserve">RUA D, 235 (LOT. PARQUE MONTENEGRO II), PREFEITO JOSÉ WALTER, Fortaleza - CE, Brasil</t>
  </si>
  <si>
    <t xml:space="preserve">851</t>
  </si>
  <si>
    <t xml:space="preserve">CEI PROFESSOR ERASMO DA SILVA PITOMBEIRA</t>
  </si>
  <si>
    <t xml:space="preserve">RUA E, S/N (LOT. AV. DOS EXPEDICIONÁRIOS)</t>
  </si>
  <si>
    <t xml:space="preserve">RUA E, S/N (LOT. AV. DOS EXPEDICIONÁRIOS), PARQUE DOIS IRMÃOS, Fortaleza - CE, Brasil</t>
  </si>
  <si>
    <t xml:space="preserve">857</t>
  </si>
  <si>
    <t xml:space="preserve">CEI PROFESSOR LAURO DE OLIVEIRA LIMA</t>
  </si>
  <si>
    <t xml:space="preserve">RUA 313, S/N</t>
  </si>
  <si>
    <t xml:space="preserve">RUA 313, S/N, JANGURUSSU, Fortaleza - CE, Brasil</t>
  </si>
  <si>
    <t xml:space="preserve">858</t>
  </si>
  <si>
    <t xml:space="preserve">CEI PROF ANA MARIA MEDEIROS DA FONSECA</t>
  </si>
  <si>
    <t xml:space="preserve">AV. DEP. CASTELO DE CASTRO, S/N</t>
  </si>
  <si>
    <t xml:space="preserve">5. EXECUÇÃO DAS ADEQUAÇÕES</t>
  </si>
  <si>
    <t xml:space="preserve">AV. DEP. CASTELO DE CASTRO, S/N, CONJUNTO PALMEIRAS, Fortaleza - CE, Brasil</t>
  </si>
  <si>
    <t xml:space="preserve">287</t>
  </si>
  <si>
    <t xml:space="preserve">ESCOLA MUNICIPAL DE TEMPO INTEGRAL PROFESSORA BERNADETE ORIA DE OLIVEIRA</t>
  </si>
  <si>
    <t xml:space="preserve">RUA DOUTOR CODES SANDOVAL, 796</t>
  </si>
  <si>
    <t xml:space="preserve">RUA DOUTOR CODES SANDOVAL, 796, CONJUNTO PALMEIRAS, Fortaleza - CE, Brasil</t>
  </si>
  <si>
    <t xml:space="preserve">861</t>
  </si>
  <si>
    <t xml:space="preserve">CEI PADRE RAIMUNDO LEANDRO DE ARAÚJO</t>
  </si>
  <si>
    <t xml:space="preserve">RUA GERARDO LIMA, S/N</t>
  </si>
  <si>
    <t xml:space="preserve">RUA GERARDO LIMA, S/N, LAGOA REDONDA, Fortaleza - CE, Brasil</t>
  </si>
  <si>
    <t xml:space="preserve">206</t>
  </si>
  <si>
    <t xml:space="preserve">ESCOLA MUNICIPAL DOLORES ALCANTARA </t>
  </si>
  <si>
    <t xml:space="preserve">RUA AZEVEDO BARRETO, 33</t>
  </si>
  <si>
    <t xml:space="preserve">AUTRAN NUNES</t>
  </si>
  <si>
    <t xml:space="preserve">RUA AZEVEDO BARRETO, 33, AUTRAN NUNES, Fortaleza - CE, Brasil</t>
  </si>
  <si>
    <t xml:space="preserve">789</t>
  </si>
  <si>
    <t xml:space="preserve">CEI JOSE DIAS MACEDO</t>
  </si>
  <si>
    <t xml:space="preserve">RUA JAGUARIBE, 77</t>
  </si>
  <si>
    <t xml:space="preserve">RUA JAGUARIBE, 77, ALDEOTA, Fortaleza - CE, Brasil</t>
  </si>
  <si>
    <t xml:space="preserve">1363</t>
  </si>
  <si>
    <t xml:space="preserve">CEI MOZART PINTO - UND II</t>
  </si>
  <si>
    <t xml:space="preserve">TRAV. NOVA AURORA, 96</t>
  </si>
  <si>
    <t xml:space="preserve">JARDIM AMÉRICA</t>
  </si>
  <si>
    <t xml:space="preserve">TRAV. NOVA AURORA, 96, JARDIM AMÉRICA, Fortaleza - CE, Brasil</t>
  </si>
  <si>
    <t xml:space="preserve">503</t>
  </si>
  <si>
    <t xml:space="preserve">CEI NOSSA SENHORA APARECIDA</t>
  </si>
  <si>
    <t xml:space="preserve">RUA TERESA CRISTINA, 112</t>
  </si>
  <si>
    <t xml:space="preserve">CENTRO</t>
  </si>
  <si>
    <t xml:space="preserve">CLIMATIZADA</t>
  </si>
  <si>
    <t xml:space="preserve">9. CLIMATIZADA</t>
  </si>
  <si>
    <t xml:space="preserve">RUA TERESA CRISTINA, 112, CENTRO, Fortaleza - CE, Brasil</t>
  </si>
  <si>
    <t xml:space="preserve">500</t>
  </si>
  <si>
    <t xml:space="preserve">CEI RACHEL DE QUEIROZ</t>
  </si>
  <si>
    <t xml:space="preserve">TRAV. AURÉLIO LAVÔR, 99</t>
  </si>
  <si>
    <t xml:space="preserve">TRAV. AURÉLIO LAVÔR, 99, BARRA DO CEARÁ, Fortaleza - CE, Brasil</t>
  </si>
  <si>
    <t xml:space="preserve">487</t>
  </si>
  <si>
    <t xml:space="preserve">CEI PROFESSOR ANISIO TEIXEIRA</t>
  </si>
  <si>
    <t xml:space="preserve">RUA GUARANI, 355</t>
  </si>
  <si>
    <t xml:space="preserve">RUA GUARANI, 355, PAUPINA, Fortaleza - CE, Brasil</t>
  </si>
  <si>
    <t xml:space="preserve">192</t>
  </si>
  <si>
    <t xml:space="preserve">ESCOLA MUNICIPAL PROFESSOR MANUEL EDUARDO PINHEIRO CAMPOS</t>
  </si>
  <si>
    <t xml:space="preserve">A.S.4076-26</t>
  </si>
  <si>
    <t xml:space="preserve">387</t>
  </si>
  <si>
    <t xml:space="preserve">CEI MARIO QUINTANA</t>
  </si>
  <si>
    <t xml:space="preserve">RUA TETA, 900</t>
  </si>
  <si>
    <t xml:space="preserve">A.S.4108-26</t>
  </si>
  <si>
    <t xml:space="preserve">RUA TETA, 900, VILA VELHA, Fortaleza - CE, Brasil</t>
  </si>
  <si>
    <t xml:space="preserve">324</t>
  </si>
  <si>
    <t xml:space="preserve">ESCOLA MUNICIPAL VEREADOR JOSE BARROS DE ALENCAR </t>
  </si>
  <si>
    <t xml:space="preserve">RUA D, 48 (CONJ. SANTOS DIAS)</t>
  </si>
  <si>
    <t xml:space="preserve">R$ 133.473,04</t>
  </si>
  <si>
    <t xml:space="preserve">A.S. 3752-25</t>
  </si>
  <si>
    <t xml:space="preserve">3568/2025</t>
  </si>
  <si>
    <t xml:space="preserve">RUA D, 48 (CONJ. SANTOS DIAS), JANGURUSSU, Fortaleza - CE, Brasil</t>
  </si>
  <si>
    <t xml:space="preserve">98</t>
  </si>
  <si>
    <t xml:space="preserve">ESCOLA MUNICIPAL DOM ALOISIO LORSCHEIDER</t>
  </si>
  <si>
    <t xml:space="preserve">RUA JULIO SILVA, 400</t>
  </si>
  <si>
    <t xml:space="preserve">A.S.4078-26</t>
  </si>
  <si>
    <t xml:space="preserve">RUA JULIO SILVA, 400, PRAIA DO FUTURO I, Fortaleza - CE, Brasil</t>
  </si>
  <si>
    <t xml:space="preserve">122</t>
  </si>
  <si>
    <t xml:space="preserve">ESCOLA MUNICIPAL RAIMUNDO MOREIRA SENA</t>
  </si>
  <si>
    <t xml:space="preserve">RUA G, 93</t>
  </si>
  <si>
    <t xml:space="preserve">A.S.4079-26</t>
  </si>
  <si>
    <t xml:space="preserve">RUA G, 93, GRANJA LISBOA, Fortaleza - CE, Brasil</t>
  </si>
  <si>
    <t xml:space="preserve">81</t>
  </si>
  <si>
    <t xml:space="preserve">ESCOLA MUNICIPAL ALBA FROTA</t>
  </si>
  <si>
    <t xml:space="preserve">AV. DOM MANUEL, 914</t>
  </si>
  <si>
    <t xml:space="preserve">AV. DOM MANUEL, 914, CENTRO, Fortaleza - CE, Brasil</t>
  </si>
  <si>
    <t xml:space="preserve">276</t>
  </si>
  <si>
    <t xml:space="preserve">ESCOLA MUNICIPAL FRANCISCO DOMINGOS DA SILVA </t>
  </si>
  <si>
    <t xml:space="preserve">AV. PRESIDENTE CASTELO BRANCO, 4707</t>
  </si>
  <si>
    <t xml:space="preserve">AV. PRESIDENTE CASTELO BRANCO, 4707, BARRA DO CEARÁ, Fortaleza - CE, Brasil</t>
  </si>
  <si>
    <t xml:space="preserve">258</t>
  </si>
  <si>
    <t xml:space="preserve">ESCOLA MUNICIPAL JOAO ESTANISLAU FACANHA</t>
  </si>
  <si>
    <t xml:space="preserve">RUA 11, S/N (CONJUNTO CAMPO DOS INGLESES)</t>
  </si>
  <si>
    <t xml:space="preserve">RUA 11, S/N (CONJUNTO CAMPO DOS INGLESES), JARDIM CEARENSE, Fortaleza - CE, Brasil</t>
  </si>
  <si>
    <t xml:space="preserve">958</t>
  </si>
  <si>
    <t xml:space="preserve">CEI OLINDA MARIA FEITOSA PARENTE</t>
  </si>
  <si>
    <t xml:space="preserve">TRAVESSA SIMEÃO, S/N</t>
  </si>
  <si>
    <t xml:space="preserve">ETAPA 01</t>
  </si>
  <si>
    <t xml:space="preserve">TRAVESSA SIMEÃO, S/N, LAGOA REDONDA, Fortaleza - CE, Brasil</t>
  </si>
  <si>
    <t xml:space="preserve">979</t>
  </si>
  <si>
    <t xml:space="preserve">CEI WILMA MARIA DE VASCONCELOS LEOPÉRCIO</t>
  </si>
  <si>
    <t xml:space="preserve">RUA DR. FRANCISCO MATOS, S/N</t>
  </si>
  <si>
    <t xml:space="preserve">PAPICU</t>
  </si>
  <si>
    <t xml:space="preserve">RUA DR. FRANCISCO MATOS, S/N, PAPICU, Fortaleza - CE, Brasil</t>
  </si>
  <si>
    <t xml:space="preserve">402</t>
  </si>
  <si>
    <t xml:space="preserve">CEI MARIA HERCILIA EVANGELISTA MARTINS</t>
  </si>
  <si>
    <t xml:space="preserve">RUA 03, 300 (LOTEAMENTO PARQUE SANTANA I)</t>
  </si>
  <si>
    <t xml:space="preserve">RUA 03, 300 (LOTEAMENTO PARQUE SANTANA I), MONDUBIM, Fortaleza - CE, Brasil</t>
  </si>
  <si>
    <t xml:space="preserve">1037</t>
  </si>
  <si>
    <t xml:space="preserve">CEI MARIA ROSA DE ALMEIDA</t>
  </si>
  <si>
    <t xml:space="preserve">RUA SOUSA CARVALHO, 625</t>
  </si>
  <si>
    <t xml:space="preserve">RUA SOUSA CARVALHO, 625, BONSUCESSO, Fortaleza - CE, Brasil</t>
  </si>
  <si>
    <t xml:space="preserve">471</t>
  </si>
  <si>
    <t xml:space="preserve">CEI MARIA DE JESUS ORIA ALENCAR</t>
  </si>
  <si>
    <t xml:space="preserve">RUA MULHERES DE AREIA, 61</t>
  </si>
  <si>
    <t xml:space="preserve">RUA MULHERES DE AREIA, 61, JANGURUSSU, Fortaleza - CE, Brasil</t>
  </si>
  <si>
    <t xml:space="preserve">472</t>
  </si>
  <si>
    <t xml:space="preserve">CEI 15 DE OUTUBRO</t>
  </si>
  <si>
    <t xml:space="preserve">RUA MENINO JESUS DE PRAGA, 192</t>
  </si>
  <si>
    <t xml:space="preserve">RUA MENINO JESUS DE PRAGA, 192, BONSUCESSO, Fortaleza - CE, Brasil</t>
  </si>
  <si>
    <t xml:space="preserve">474</t>
  </si>
  <si>
    <t xml:space="preserve">CEI PROFESSORA EDITH BRAGA</t>
  </si>
  <si>
    <t xml:space="preserve">RUA CAPITÃO VASCONCELOS, 1061</t>
  </si>
  <si>
    <t xml:space="preserve">AEROLÂNDIA</t>
  </si>
  <si>
    <t xml:space="preserve">RUA CAPITÃO VASCONCELOS, 1061, AEROLÂNDIA, Fortaleza - CE, Brasil</t>
  </si>
  <si>
    <t xml:space="preserve">478</t>
  </si>
  <si>
    <t xml:space="preserve">CEI ANTONIO DIOGO DE SIQUEIRA</t>
  </si>
  <si>
    <t xml:space="preserve">RUA MANUEL ANTÔNIO LEITE, 703</t>
  </si>
  <si>
    <t xml:space="preserve">RUA MANUEL ANTÔNIO LEITE, 703, BONSUCESSO, Fortaleza - CE, Brasil</t>
  </si>
  <si>
    <t xml:space="preserve">490</t>
  </si>
  <si>
    <t xml:space="preserve">CEI MURILO AGUIAR</t>
  </si>
  <si>
    <t xml:space="preserve">RUA 24 DE OUTUBRO, 1063</t>
  </si>
  <si>
    <t xml:space="preserve">GENIBAÚ</t>
  </si>
  <si>
    <t xml:space="preserve">RUA 24 DE OUTUBRO, 1063, GENIBAÚ, Fortaleza - CE, Brasil</t>
  </si>
  <si>
    <t xml:space="preserve">323</t>
  </si>
  <si>
    <t xml:space="preserve">ESCOLA MUNICIPAL MARIETA GUEDES MARTINS </t>
  </si>
  <si>
    <t xml:space="preserve">AV. CÔNEGO DE CASTRO, 4701</t>
  </si>
  <si>
    <t xml:space="preserve">AV. CÔNEGO DE CASTRO, 4701, NOVO MONDUBIM, Fortaleza - CE, Brasil</t>
  </si>
  <si>
    <t xml:space="preserve">109</t>
  </si>
  <si>
    <t xml:space="preserve">ESCOLA MUNICIPAL PADRE ARIMATEIA DINIZ </t>
  </si>
  <si>
    <t xml:space="preserve">RUA 810, S/N</t>
  </si>
  <si>
    <t xml:space="preserve">CONJUNTO CEARÁ I</t>
  </si>
  <si>
    <t xml:space="preserve">RUA 810, S/N, CONJUNTO CEARÁ I, Fortaleza - CE, Brasil</t>
  </si>
  <si>
    <t xml:space="preserve">766</t>
  </si>
  <si>
    <t xml:space="preserve">CEI MARIA TEREZINHA DE CARVALHO HOLANDA</t>
  </si>
  <si>
    <t xml:space="preserve">AV I, S/N</t>
  </si>
  <si>
    <t xml:space="preserve">AV I, S/N, GENIBAÚ, Fortaleza - CE, Brasil</t>
  </si>
  <si>
    <t xml:space="preserve">887</t>
  </si>
  <si>
    <t xml:space="preserve">ESCOLA MUNICIPAL HEITOR VILLA LOBOS </t>
  </si>
  <si>
    <t xml:space="preserve">AV. NOVA FORTALEZA, 1635</t>
  </si>
  <si>
    <t xml:space="preserve">AV. NOVA FORTALEZA, 1635, PLANALTO AYRTON SENNA, Fortaleza - CE, Brasil</t>
  </si>
  <si>
    <t xml:space="preserve">1117</t>
  </si>
  <si>
    <t xml:space="preserve">CEI DOUTOR SAVIO CALDAS DE ALENCAR</t>
  </si>
  <si>
    <t xml:space="preserve">RUA E, S/N(LOT. RES. NOVO PASSARÉ)</t>
  </si>
  <si>
    <t xml:space="preserve">RUA E, S/N(LOT. RES. NOVO PASSARÉ), PASSARÉ, Fortaleza - CE, Brasil</t>
  </si>
  <si>
    <t xml:space="preserve">117</t>
  </si>
  <si>
    <t xml:space="preserve">ESCOLA MUNICIPAL LUIS ANGELO PEREIRA</t>
  </si>
  <si>
    <t xml:space="preserve">RUA OSMUNDO CAVALCANTE DE OLIVEIRA, 90</t>
  </si>
  <si>
    <t xml:space="preserve">RUA OSMUNDO CAVALCANTE DE OLIVEIRA, 90, VICENTE PINZÓN, Fortaleza - CE, Brasil</t>
  </si>
  <si>
    <t xml:space="preserve">239</t>
  </si>
  <si>
    <t xml:space="preserve">ESCOLA MUNICIPAL PATATIVA DO ASSARE</t>
  </si>
  <si>
    <t xml:space="preserve">RUA FREI TEOBALDO, 646</t>
  </si>
  <si>
    <t xml:space="preserve">ÁLVARO WEYNE</t>
  </si>
  <si>
    <t xml:space="preserve">RUA FREI TEOBALDO, 646, ÁLVARO WEYNE, Fortaleza - CE, Brasil</t>
  </si>
  <si>
    <t xml:space="preserve">459</t>
  </si>
  <si>
    <t xml:space="preserve">CEI PROFESSOR CLODOALDO PINTO</t>
  </si>
  <si>
    <t xml:space="preserve">RUA BARVARTH BEZERRA, 100</t>
  </si>
  <si>
    <t xml:space="preserve">RUA BARVARTH BEZERRA, 100, PADRE ANDRADE, Fortaleza - CE, Brasil</t>
  </si>
  <si>
    <t xml:space="preserve">235</t>
  </si>
  <si>
    <t xml:space="preserve">ESCOLA MUNICIPAL SAO CURA DARS</t>
  </si>
  <si>
    <t xml:space="preserve">RUA SANTA ELISA, 722</t>
  </si>
  <si>
    <t xml:space="preserve">RUA SANTA ELISA, 722, CRISTO REDENTOR, Fortaleza - CE, Brasil</t>
  </si>
  <si>
    <t xml:space="preserve">827</t>
  </si>
  <si>
    <t xml:space="preserve">CEI ALTAMIR FERNANDES CORREA LEITE</t>
  </si>
  <si>
    <t xml:space="preserve">TRAV. QUÊNIA, 50</t>
  </si>
  <si>
    <t xml:space="preserve">2. ANALISE ELETRICA E CIVIL</t>
  </si>
  <si>
    <t xml:space="preserve">A.S. Nº 4009-26</t>
  </si>
  <si>
    <t xml:space="preserve">TRAV. QUÊNIA, 50, PADRE ANDRADE, Fortaleza - CE, Brasil</t>
  </si>
  <si>
    <t xml:space="preserve">111</t>
  </si>
  <si>
    <t xml:space="preserve">ESCOLA MUNICIPAL CRESCER E APRENDER</t>
  </si>
  <si>
    <t xml:space="preserve">RUA EDSON MARTINS, 642</t>
  </si>
  <si>
    <t xml:space="preserve">BOM JARDIM</t>
  </si>
  <si>
    <t xml:space="preserve">RUA EDSON MARTINS, 642, BOM JARDIM, Fortaleza - CE, Brasil</t>
  </si>
  <si>
    <t xml:space="preserve">132</t>
  </si>
  <si>
    <t xml:space="preserve">ESCOLA MUNICIPAL PRESIDENTE KENNEDY </t>
  </si>
  <si>
    <t xml:space="preserve">AV. LINEU MACHADO, 811</t>
  </si>
  <si>
    <t xml:space="preserve">JÓQUEI CLUBE</t>
  </si>
  <si>
    <t xml:space="preserve">AV. LINEU MACHADO, 811, JÓQUEI CLUBE, Fortaleza - CE, Brasil</t>
  </si>
  <si>
    <t xml:space="preserve">289</t>
  </si>
  <si>
    <t xml:space="preserve">ESCOLA MUNICIPAL RACHEL DE QUEIROZ</t>
  </si>
  <si>
    <t xml:space="preserve">AV. PRESIDENTE CASTELO BRANCO, 5010</t>
  </si>
  <si>
    <t xml:space="preserve">AV. PRESIDENTE CASTELO BRANCO, 5010, BARRA DO CEARÁ, Fortaleza - CE, Brasil</t>
  </si>
  <si>
    <t xml:space="preserve">199</t>
  </si>
  <si>
    <t xml:space="preserve">ESCOLA MUNICIPAL LORHAN MARQUES MEDEIROS</t>
  </si>
  <si>
    <t xml:space="preserve">RUA CREUZA ROCHA, 255</t>
  </si>
  <si>
    <t xml:space="preserve">RUA CREUZA ROCHA, 255, JARDIM GUANABARA, Fortaleza - CE, Brasil</t>
  </si>
  <si>
    <t xml:space="preserve">372</t>
  </si>
  <si>
    <t xml:space="preserve">CEI NOSSA SENHORA DE GUADALUPE</t>
  </si>
  <si>
    <t xml:space="preserve">RUA LÚCIA HELENA DO NASCIMENTO, 207</t>
  </si>
  <si>
    <t xml:space="preserve">CAJAZEIRAS</t>
  </si>
  <si>
    <t xml:space="preserve">A.S. 4008-26</t>
  </si>
  <si>
    <t xml:space="preserve">RUA LÚCIA HELENA DO NASCIMENTO, 207, CAJAZEIRAS, Fortaleza - CE, Brasil</t>
  </si>
  <si>
    <t xml:space="preserve">404</t>
  </si>
  <si>
    <t xml:space="preserve">CEI ANTONIA NATHALIA CRISTINA CHAVES MACIEL</t>
  </si>
  <si>
    <t xml:space="preserve">RUA 910, S/N</t>
  </si>
  <si>
    <t xml:space="preserve">CONJUNTO CEARÁ II</t>
  </si>
  <si>
    <t xml:space="preserve">-</t>
  </si>
  <si>
    <t xml:space="preserve">RUA 910, S/N, CONJUNTO CEARÁ II, Fortaleza - CE, Brasil</t>
  </si>
  <si>
    <t xml:space="preserve">987</t>
  </si>
  <si>
    <t xml:space="preserve">ESCOLA MUNICIPAL DE TEMPO INTEGRAL DEPUTADO ROBERTO MESQUITA</t>
  </si>
  <si>
    <t xml:space="preserve">RUA BETA, S/N</t>
  </si>
  <si>
    <t xml:space="preserve">225 KVA</t>
  </si>
  <si>
    <t xml:space="preserve">RUA BETA, S/N, VILA VELHA, Fortaleza - CE, Brasil</t>
  </si>
  <si>
    <t xml:space="preserve">247</t>
  </si>
  <si>
    <t xml:space="preserve">ESCOLA MUNICIPAL ROSA AMARO CAVALCANTE </t>
  </si>
  <si>
    <t xml:space="preserve">RUA ALFREDO MAMEDE, 1064</t>
  </si>
  <si>
    <t xml:space="preserve">RUA ALFREDO MAMEDE, 1064, NOVO MONDUBIM, Fortaleza - CE, Brasil</t>
  </si>
  <si>
    <t xml:space="preserve">254</t>
  </si>
  <si>
    <t xml:space="preserve">ESCOLA MUNICIPAL NARCISO PESSOA DE ARAUJO </t>
  </si>
  <si>
    <t xml:space="preserve">AV. GENERAL OSÓRIO DE PAIVA, 4841</t>
  </si>
  <si>
    <t xml:space="preserve">AV. GENERAL OSÓRIO DE PAIVA, 4841, CANINDEZINHO, Fortaleza - CE, Brasil</t>
  </si>
  <si>
    <t xml:space="preserve">201</t>
  </si>
  <si>
    <t xml:space="preserve">ESCOLA MUNICIPAL REITOR PEDRO TEIXEIRA BARROSO </t>
  </si>
  <si>
    <t xml:space="preserve">AV. FLORÊNCIO DE ALENCAR, 900</t>
  </si>
  <si>
    <t xml:space="preserve">112,5 KVA</t>
  </si>
  <si>
    <t xml:space="preserve">AV. FLORÊNCIO DE ALENCAR, 900, BARRA DO CEARÁ, Fortaleza - CE, Brasil</t>
  </si>
  <si>
    <t xml:space="preserve">835</t>
  </si>
  <si>
    <t xml:space="preserve">CEI JORNALISTA NENO CAVALCANTE</t>
  </si>
  <si>
    <t xml:space="preserve">RUA 725, S/N</t>
  </si>
  <si>
    <t xml:space="preserve">RUA 725, S/N, CONJUNTO CEARÁ II, Fortaleza - CE, Brasil</t>
  </si>
  <si>
    <t xml:space="preserve">282</t>
  </si>
  <si>
    <t xml:space="preserve">ESCOLA MUNICIPAL NOSSA SENHORA APARECIDA</t>
  </si>
  <si>
    <t xml:space="preserve">581</t>
  </si>
  <si>
    <t xml:space="preserve">ESCOLA MUNICIPAL 11 DE AGOSTO</t>
  </si>
  <si>
    <t xml:space="preserve">RUA ERETIDES DE ALENCAR, 1623</t>
  </si>
  <si>
    <t xml:space="preserve">RUA ERETIDES DE ALENCAR, 1623, JARDIM IRACEMA, Fortaleza - CE, Brasil</t>
  </si>
  <si>
    <t xml:space="preserve">859</t>
  </si>
  <si>
    <t xml:space="preserve">CEI ANTÔNIO VALDINAR DE CARVALHO CUSTÓDIO</t>
  </si>
  <si>
    <t xml:space="preserve">RUA 202, S/N</t>
  </si>
  <si>
    <t xml:space="preserve">RUA 202, S/N, CONJUNTO CEARÁ I, Fortaleza - CE, Brasil</t>
  </si>
  <si>
    <t xml:space="preserve">319</t>
  </si>
  <si>
    <t xml:space="preserve">ESCOLA MUNICIPAL DE TEMPO INTEGRAL FRANCISCA ORIA SERPA </t>
  </si>
  <si>
    <t xml:space="preserve">RUA JORGE FIGUEIREDO, 3652</t>
  </si>
  <si>
    <t xml:space="preserve">PEDRAS</t>
  </si>
  <si>
    <t xml:space="preserve">RUA JORGE FIGUEIREDO, 3652, PEDRAS, Fortaleza - CE, Brasil</t>
  </si>
  <si>
    <t xml:space="preserve">249</t>
  </si>
  <si>
    <t xml:space="preserve">ESCOLA MUNICIPAL WASHINGTON SOARES </t>
  </si>
  <si>
    <t xml:space="preserve">RUA DO CORRENTE, 400</t>
  </si>
  <si>
    <t xml:space="preserve">RUA DO CORRENTE, 400, EDSON QUEIROZ, Fortaleza - CE, Brasil</t>
  </si>
  <si>
    <t xml:space="preserve">366</t>
  </si>
  <si>
    <t xml:space="preserve">ESCOLA MUNICIPAL JOSE BARROS DE ALENCAR</t>
  </si>
  <si>
    <t xml:space="preserve">RUA GARDÊNIA, S/N (PARQUE MAMOEIRO)</t>
  </si>
  <si>
    <t xml:space="preserve">UBIRATAM</t>
  </si>
  <si>
    <t xml:space="preserve">RUA GARDÊNIA, S/N (PARQUE MAMOEIRO), PAUPINA, Fortaleza - CE, Brasil</t>
  </si>
  <si>
    <t xml:space="preserve">403</t>
  </si>
  <si>
    <t xml:space="preserve">ESCOLA MUNICIPAL ROSA AMARO CAVALCANTE  - UND II</t>
  </si>
  <si>
    <t xml:space="preserve">RUA 01, 1169 (PARQUE SANTANA I)</t>
  </si>
  <si>
    <t xml:space="preserve">RUA 01, 1169 (PARQUE SANTANA I), MONDUBIM, Fortaleza - CE, Brasil</t>
  </si>
  <si>
    <t xml:space="preserve">442</t>
  </si>
  <si>
    <t xml:space="preserve">CEI MURILO SERPA</t>
  </si>
  <si>
    <t xml:space="preserve">AV. CORONEL MATOS DOURADO, S/N</t>
  </si>
  <si>
    <t xml:space="preserve">PICI</t>
  </si>
  <si>
    <t xml:space="preserve">AV. CORONEL MATOS DOURADO, S/N, PICI, Fortaleza - CE, Brasil</t>
  </si>
  <si>
    <t xml:space="preserve">447</t>
  </si>
  <si>
    <t xml:space="preserve">ESCOLA MUNICIPAL SINO PINHEIRO - UND II</t>
  </si>
  <si>
    <t xml:space="preserve">RUA 9 , 279 (CONJUNTO JOÃO PAULO II)</t>
  </si>
  <si>
    <t xml:space="preserve">BARROSO</t>
  </si>
  <si>
    <t xml:space="preserve">RUA 9 , 279 (CONJUNTO JOÃO PAULO II), BARROSO, Fortaleza - CE, Brasil</t>
  </si>
  <si>
    <t xml:space="preserve">477</t>
  </si>
  <si>
    <t xml:space="preserve">CEI GODOFREDO DE CASTRO FILHO</t>
  </si>
  <si>
    <t xml:space="preserve">AV. JOSÉ SABÓIA, 905</t>
  </si>
  <si>
    <t xml:space="preserve">CAIS DO PORTO</t>
  </si>
  <si>
    <t xml:space="preserve">AV. JOSÉ SABÓIA, 905, CAIS DO PORTO, Fortaleza - CE, Brasil</t>
  </si>
  <si>
    <t xml:space="preserve">942</t>
  </si>
  <si>
    <t xml:space="preserve">ESCOLA MUNICIPAL MARILENE LOPES RABELO </t>
  </si>
  <si>
    <t xml:space="preserve">RUA JACARANDÁ, 460</t>
  </si>
  <si>
    <t xml:space="preserve">RUA JACARANDÁ, 460, PARQUE PRESIDENTE VARGAS, Fortaleza - CE, Brasil</t>
  </si>
  <si>
    <t xml:space="preserve">89</t>
  </si>
  <si>
    <t xml:space="preserve">ESCOLA MUNICIPAL ANTONIO SALES</t>
  </si>
  <si>
    <t xml:space="preserve">RUA TAVARES IRACEMA, 675</t>
  </si>
  <si>
    <t xml:space="preserve">RODOLFO TEÓFILO</t>
  </si>
  <si>
    <t xml:space="preserve">CANCELADA</t>
  </si>
  <si>
    <t xml:space="preserve">RUA TAVARES IRACEMA, 675, RODOLFO TEÓFILO, Fortaleza - CE, Brasil</t>
  </si>
  <si>
    <t xml:space="preserve">257</t>
  </si>
  <si>
    <t xml:space="preserve">ESCOLA MUNICIPAL JOSE DIAS MACEDO</t>
  </si>
  <si>
    <t xml:space="preserve">RUA NUNES VALENTE, 809</t>
  </si>
  <si>
    <t xml:space="preserve">MEIRELES</t>
  </si>
  <si>
    <t xml:space="preserve">RUA NUNES VALENTE, 809, MEIRELES, Fortaleza - CE, Brasil</t>
  </si>
  <si>
    <t xml:space="preserve">367</t>
  </si>
  <si>
    <t xml:space="preserve">CEI MARIA FELICIO LOPES</t>
  </si>
  <si>
    <t xml:space="preserve">RUA ISMAEL PORDEUS, 70</t>
  </si>
  <si>
    <t xml:space="preserve">RUA ISMAEL PORDEUS, 70, CAIS DO PORTO, Fortaleza - CE, Brasil</t>
  </si>
  <si>
    <t xml:space="preserve">305</t>
  </si>
  <si>
    <t xml:space="preserve">ESCOLA MUNICIPAL JOAO FREDERICO FERREIRA GOMES</t>
  </si>
  <si>
    <t xml:space="preserve">RUA JOSÉ MENDONÇA, 1150</t>
  </si>
  <si>
    <t xml:space="preserve">A.S. 3748-25</t>
  </si>
  <si>
    <t xml:space="preserve">RUA JOSÉ MENDONÇA, 1150, GENIBAÚ, Fortaleza - CE, Brasil</t>
  </si>
  <si>
    <t xml:space="preserve">368</t>
  </si>
  <si>
    <t xml:space="preserve">CEI PROFESSOR JOSE CIRIO PEREIRA FILHO</t>
  </si>
  <si>
    <t xml:space="preserve">RUA RUBI, 100</t>
  </si>
  <si>
    <t xml:space="preserve">3. ORÇAMENTO E PLANTA</t>
  </si>
  <si>
    <t xml:space="preserve">A.S. 3944-26</t>
  </si>
  <si>
    <t xml:space="preserve">RUA RUBI, 100, SIQUEIRA, Fortaleza - CE, Brasil</t>
  </si>
  <si>
    <t xml:space="preserve">498</t>
  </si>
  <si>
    <t xml:space="preserve">CEI MOZART PINTO</t>
  </si>
  <si>
    <t xml:space="preserve">RUA MAJOR WEYNE, 100</t>
  </si>
  <si>
    <t xml:space="preserve">A.S. 3961-26</t>
  </si>
  <si>
    <t xml:space="preserve">RUA MAJOR WEYNE, 100, JARDIM AMÉRICA, Fortaleza - CE, Brasil</t>
  </si>
  <si>
    <t xml:space="preserve">501</t>
  </si>
  <si>
    <t xml:space="preserve">CEI PROFESSORA BERNADETE ORIA DE OLIVEIRA</t>
  </si>
  <si>
    <t xml:space="preserve">RUA JOSÉ LINHARES, 903</t>
  </si>
  <si>
    <t xml:space="preserve">A.S. 3945-26</t>
  </si>
  <si>
    <t xml:space="preserve">RUA JOSÉ LINHARES, 903, CONJUNTO PALMEIRAS, Fortaleza - CE, Brasil</t>
  </si>
  <si>
    <t xml:space="preserve">102</t>
  </si>
  <si>
    <t xml:space="preserve">ESCOLA MUNICIPAL JOSE NAURI BRAGA </t>
  </si>
  <si>
    <t xml:space="preserve">RUA LILIA ABREU, 231</t>
  </si>
  <si>
    <t xml:space="preserve">RUA LILIA ABREU, 231, PICI, Fortaleza - CE, Brasil</t>
  </si>
  <si>
    <t xml:space="preserve">106</t>
  </si>
  <si>
    <t xml:space="preserve">ESCOLA MUNICIPAL SEBASTIANA ALDIGUERI </t>
  </si>
  <si>
    <t xml:space="preserve">RUA DR. THEMBERG, 448</t>
  </si>
  <si>
    <t xml:space="preserve">RUA DR. THEMBERG, 448, CRISTO REDENTOR, Fortaleza - CE, Brasil</t>
  </si>
  <si>
    <t xml:space="preserve">1181</t>
  </si>
  <si>
    <t xml:space="preserve">CEI RITA DE CASSIA DE LIMA BARBOSA</t>
  </si>
  <si>
    <t xml:space="preserve">RUA 5, S/N (LOT RES. VILA VERDE)</t>
  </si>
  <si>
    <t xml:space="preserve">RUA 5, S/N (LOT RES. VILA VERDE), CANINDEZINHO, Fortaleza - CE, Brasil</t>
  </si>
  <si>
    <t xml:space="preserve">127</t>
  </si>
  <si>
    <t xml:space="preserve">ESCOLA MUNICIPAL DOM MANOEL DA SILVA GOMES </t>
  </si>
  <si>
    <t xml:space="preserve">RUA SAMUEL UCHÔA, 550</t>
  </si>
  <si>
    <t xml:space="preserve">RUA SAMUEL UCHÔA, 550, JARDIM AMÉRICA, Fortaleza - CE, Brasil</t>
  </si>
  <si>
    <t xml:space="preserve">978</t>
  </si>
  <si>
    <t xml:space="preserve">CEI ANTONIA AGOSTINHO DE SOUSA</t>
  </si>
  <si>
    <t xml:space="preserve">RUA TUIUIÚ, S/N</t>
  </si>
  <si>
    <t xml:space="preserve">A.S. 3955-26</t>
  </si>
  <si>
    <t xml:space="preserve">RUA TUIUIÚ, S/N, EDSON QUEIROZ, Fortaleza - CE, Brasil</t>
  </si>
  <si>
    <t xml:space="preserve">286</t>
  </si>
  <si>
    <t xml:space="preserve">ESCOLA MUNICIPAL JOSE CARLOS DE PINHO</t>
  </si>
  <si>
    <t xml:space="preserve">RUA LUÍZA MIRANDA COELHO, 595</t>
  </si>
  <si>
    <t xml:space="preserve">ENGENHEIRO LUCIANO CAVALCANTE</t>
  </si>
  <si>
    <t xml:space="preserve">RUA LUÍZA MIRANDA COELHO, 595, ENGENHEIRO LUCIANO CAVALCANTE, Fortaleza - CE, Brasil</t>
  </si>
  <si>
    <t xml:space="preserve">170</t>
  </si>
  <si>
    <t xml:space="preserve">ESCOLA MUNICIPAL ELEAZAR DE CARVALHO</t>
  </si>
  <si>
    <t xml:space="preserve">RUA FRANCISCO ALVES PEREIRA, 349</t>
  </si>
  <si>
    <t xml:space="preserve">RUA FRANCISCO ALVES PEREIRA, 349, CAIS DO PORTO, Fortaleza - CE, Brasil</t>
  </si>
  <si>
    <t xml:space="preserve">187</t>
  </si>
  <si>
    <t xml:space="preserve">ESCOLA MUNICIPAL FAUSTINO DE ALBUQUERQUE </t>
  </si>
  <si>
    <t xml:space="preserve">RUA AMARO CAVALCANTE, 221</t>
  </si>
  <si>
    <t xml:space="preserve">RUA AMARO CAVALCANTE, 221, MONTE CASTELO, Fortaleza - CE, Brasil</t>
  </si>
  <si>
    <t xml:space="preserve">302</t>
  </si>
  <si>
    <t xml:space="preserve">ESCOLA MUNICIPAL PROFESSORA CONSUELO AMORA </t>
  </si>
  <si>
    <t xml:space="preserve">AV. DOS JANGADEIROS, 577</t>
  </si>
  <si>
    <t xml:space="preserve">AV. DOS JANGADEIROS, 577, VICENTE PINZÓN, Fortaleza - CE, Brasil</t>
  </si>
  <si>
    <t xml:space="preserve">213</t>
  </si>
  <si>
    <t xml:space="preserve">ESCOLA MUNICIPAL ANTONIO DIOGO DE SIQUEIRA</t>
  </si>
  <si>
    <t xml:space="preserve">RUA ANSELMO NOGUEIRA, 655</t>
  </si>
  <si>
    <t xml:space="preserve">RUA ANSELMO NOGUEIRA, 655, BONSUCESSO, Fortaleza - CE, Brasil</t>
  </si>
  <si>
    <t xml:space="preserve">879</t>
  </si>
  <si>
    <t xml:space="preserve">ESCOLA MUNICIPAL JOHNSON </t>
  </si>
  <si>
    <t xml:space="preserve">RUA DOUTORA SOCORRO AZEVEDO, 461</t>
  </si>
  <si>
    <t xml:space="preserve">RUA DOUTORA SOCORRO AZEVEDO, 461, ENGENHEIRO LUCIANO CAVALCANTE, Fortaleza - CE, Brasil</t>
  </si>
  <si>
    <t xml:space="preserve">238</t>
  </si>
  <si>
    <t xml:space="preserve">ESCOLA MUNICIPAL SAO RAFAEL</t>
  </si>
  <si>
    <t xml:space="preserve">RUA DOS TABAJARAS, 244</t>
  </si>
  <si>
    <t xml:space="preserve">RUA DOS TABAJARAS, 244, PRAIA DE IRACEMA, Fortaleza - CE, Brasil</t>
  </si>
  <si>
    <t xml:space="preserve">410</t>
  </si>
  <si>
    <t xml:space="preserve">CEI PROFESSOR JOSE SOBREIRA DE AMORIM</t>
  </si>
  <si>
    <t xml:space="preserve">255</t>
  </si>
  <si>
    <t xml:space="preserve">ESCOLA MUNICIPAL SANTA TEREZA </t>
  </si>
  <si>
    <t xml:space="preserve">AV. MONSENHOR HÉLIO CAMPOS, 92</t>
  </si>
  <si>
    <t xml:space="preserve">AV. MONSENHOR HÉLIO CAMPOS, 92, CRISTO REDENTOR, Fortaleza - CE, Brasil</t>
  </si>
  <si>
    <t xml:space="preserve">1190</t>
  </si>
  <si>
    <t xml:space="preserve">CEI ABRAAO LUCCA DA SILVA</t>
  </si>
  <si>
    <t xml:space="preserve">RUA PROFESSOR MIRAMAR DA PONTE, S/N</t>
  </si>
  <si>
    <t xml:space="preserve">RUA PROFESSOR MIRAMAR DA PONTE, S/N, PICI, Fortaleza - CE, Brasil</t>
  </si>
  <si>
    <t xml:space="preserve">271</t>
  </si>
  <si>
    <t xml:space="preserve">ESCOLA MUNICIPAL CESAR CALS DE OLIVEIRA NETO</t>
  </si>
  <si>
    <t xml:space="preserve">RUA OLÍMPIO RIBEIRO, 20</t>
  </si>
  <si>
    <t xml:space="preserve">RUA OLÍMPIO RIBEIRO, 20, CONJUNTO PALMEIRAS, Fortaleza - CE, Brasil</t>
  </si>
  <si>
    <t xml:space="preserve">325</t>
  </si>
  <si>
    <t xml:space="preserve">ESCOLA MUNICIPAL TRISTAO DE ALENCAR</t>
  </si>
  <si>
    <t xml:space="preserve">RUA JOSÉ NOGUEIRA, 69</t>
  </si>
  <si>
    <t xml:space="preserve">RUA JOSÉ NOGUEIRA, 69, PEDRAS, Fortaleza - CE, Brasil</t>
  </si>
  <si>
    <t xml:space="preserve">351</t>
  </si>
  <si>
    <t xml:space="preserve">ESCOLA MUNICIPAL RAIMUNDO DE SOUSA MANGUEIRA </t>
  </si>
  <si>
    <t xml:space="preserve">RUA ALBERTO FERREIRA, 624</t>
  </si>
  <si>
    <t xml:space="preserve">RUA ALBERTO FERREIRA, 624, JARDIM IRACEMA, Fortaleza - CE, Brasil</t>
  </si>
  <si>
    <t xml:space="preserve">380</t>
  </si>
  <si>
    <t xml:space="preserve">CEI MARIA DOLORES PETROLA DE MELO JORGE</t>
  </si>
  <si>
    <t xml:space="preserve">RUA SARGENTO BARBOSA, 851</t>
  </si>
  <si>
    <t xml:space="preserve">RUA SARGENTO BARBOSA, 851, GRANJA LISBOA, Fortaleza - CE, Brasil</t>
  </si>
  <si>
    <t xml:space="preserve">1116</t>
  </si>
  <si>
    <t xml:space="preserve">ESCOLA MUNICIPAL DE TEMPO INTEGRAL VEREADOR ALBERTO GOMES DE QUEIROZ</t>
  </si>
  <si>
    <t xml:space="preserve">AV. ZEZÉ DIOGO, 782</t>
  </si>
  <si>
    <t xml:space="preserve">AV. ZEZÉ DIOGO, 782, CAIS DO PORTO, Fortaleza - CE, Brasil</t>
  </si>
  <si>
    <t xml:space="preserve">1289</t>
  </si>
  <si>
    <t xml:space="preserve">ESCOLA MUNICIPAL IVANILSON SOUZA LIMA COSTA</t>
  </si>
  <si>
    <t xml:space="preserve">369</t>
  </si>
  <si>
    <t xml:space="preserve">CEI JORNALISTA DEMOCRITO DUMMAR</t>
  </si>
  <si>
    <t xml:space="preserve">RUA JOSÉ DANTAS PEREIRA, 334</t>
  </si>
  <si>
    <t xml:space="preserve">A.S. 3943-26</t>
  </si>
  <si>
    <t xml:space="preserve">RUA JOSÉ DANTAS PEREIRA, 334, CANINDEZINHO, Fortaleza - CE, Brasil</t>
  </si>
  <si>
    <t xml:space="preserve">167</t>
  </si>
  <si>
    <t xml:space="preserve">ESCOLA MUNICIPAL PROFESSOR LUIS COSTA</t>
  </si>
  <si>
    <t xml:space="preserve">RUA JOSÉ GUILHERME DA COSTA, 156</t>
  </si>
  <si>
    <t xml:space="preserve">RUA JOSÉ GUILHERME DA COSTA, 156, ENGENHEIRO LUCIANO CAVALCANTE, Fortaleza - CE, Brasil</t>
  </si>
  <si>
    <t xml:space="preserve">118</t>
  </si>
  <si>
    <t xml:space="preserve">ESCOLA MUNICIPAL FREI TITO DE ALENCAR LIMA</t>
  </si>
  <si>
    <t xml:space="preserve">AV. DIOGUINHO, 5925</t>
  </si>
  <si>
    <t xml:space="preserve">AV. DIOGUINHO, 5925, PRAIA DO FUTURO II, Fortaleza - CE, Brasil</t>
  </si>
  <si>
    <t xml:space="preserve">264</t>
  </si>
  <si>
    <t xml:space="preserve">ESCOLA MUNICIPAL ROGACIANO LEITE</t>
  </si>
  <si>
    <t xml:space="preserve">RUA 45, S/N</t>
  </si>
  <si>
    <t xml:space="preserve">RUA 45, S/N, PREFEITO JOSÉ WALTER, Fortaleza - CE, Brasil</t>
  </si>
  <si>
    <t xml:space="preserve">105</t>
  </si>
  <si>
    <t xml:space="preserve">ESCOLA MUNICIPAL MARIA FELICIO LOPES</t>
  </si>
  <si>
    <t xml:space="preserve">329</t>
  </si>
  <si>
    <t xml:space="preserve">ESCOLA MUNICIPAL DEPUTADO GERONCIO BEZERRA</t>
  </si>
  <si>
    <t xml:space="preserve">TV. MANUEL NUNES, 42</t>
  </si>
  <si>
    <t xml:space="preserve">TV. MANUEL NUNES, 42, ANTÔNIO BEZERRA, Fortaleza - CE, Brasil</t>
  </si>
  <si>
    <t xml:space="preserve">572</t>
  </si>
  <si>
    <t xml:space="preserve">CEI HUMBERTO TEIXEIRA</t>
  </si>
  <si>
    <t xml:space="preserve">RUA FRANCISCO COSTA, 162</t>
  </si>
  <si>
    <t xml:space="preserve">RUA FRANCISCO COSTA, 162, JANGURUSSU, Fortaleza - CE, Brasil</t>
  </si>
  <si>
    <t xml:space="preserve">783</t>
  </si>
  <si>
    <t xml:space="preserve">ESCOLA MUNICIPAL DE TEMPO INTEGRAL PROFESSOR JOSE JULIO DA PONTE </t>
  </si>
  <si>
    <t xml:space="preserve">RUA MÁRIO DE ANDRADE, S/N</t>
  </si>
  <si>
    <t xml:space="preserve">RUA MÁRIO DE ANDRADE, S/N, BELA VISTA, Fortaleza - CE, Brasil</t>
  </si>
  <si>
    <t xml:space="preserve">107</t>
  </si>
  <si>
    <t xml:space="preserve">ESCOLA MUNICIPAL CRISTO REDENTOR </t>
  </si>
  <si>
    <t xml:space="preserve">AV. PASTEUR, 372</t>
  </si>
  <si>
    <t xml:space="preserve">AV. PASTEUR, 372, CRISTO REDENTOR, Fortaleza - CE, Brasil</t>
  </si>
  <si>
    <t xml:space="preserve">438</t>
  </si>
  <si>
    <t xml:space="preserve">CEI ZILDA ARNS NEUMANN</t>
  </si>
  <si>
    <t xml:space="preserve">RUA PEDESTRE XIII, 25 (CONJ. JARDIM FLUMINENSE)</t>
  </si>
  <si>
    <t xml:space="preserve">A.S. 3946-26</t>
  </si>
  <si>
    <t xml:space="preserve">RUA PEDESTRE XIII, 25 (CONJ. JARDIM FLUMINENSE), CANINDEZINHO, Fortaleza - CE, Brasil</t>
  </si>
  <si>
    <t xml:space="preserve">296</t>
  </si>
  <si>
    <t xml:space="preserve">ESCOLA MUNICIPAL MARIA CARDOSO </t>
  </si>
  <si>
    <t xml:space="preserve">RUA FRANCISQUINHA PORTELA, 1151</t>
  </si>
  <si>
    <t xml:space="preserve">RUA FRANCISQUINHA PORTELA, 1151, QUINTINO CUNHA, Fortaleza - CE, Brasil</t>
  </si>
  <si>
    <t xml:space="preserve">236</t>
  </si>
  <si>
    <t xml:space="preserve">ESCOLA MUNICIPAL DE TEMPO INTEGRAL PROFESSOR ADEMAR NUNES BATISTA </t>
  </si>
  <si>
    <t xml:space="preserve">RUA 1159 , 100</t>
  </si>
  <si>
    <t xml:space="preserve">RUA 1159 , 100, CONJUNTO CEARÁ I, Fortaleza - CE, Brasil</t>
  </si>
  <si>
    <t xml:space="preserve">244</t>
  </si>
  <si>
    <t xml:space="preserve">ESCOLA MUNICIPAL SANTA LUZIA</t>
  </si>
  <si>
    <t xml:space="preserve">RUA CORONEL FRANCISCO BENTO, 16</t>
  </si>
  <si>
    <t xml:space="preserve">RUA CORONEL FRANCISCO BENTO, 16, DOM LUSTOSA, Fortaleza - CE, Brasil</t>
  </si>
  <si>
    <t xml:space="preserve">781</t>
  </si>
  <si>
    <t xml:space="preserve">CEI TEODORA MARIA DA SILVA</t>
  </si>
  <si>
    <t xml:space="preserve">RUA QUATRO IRMÃOS, S/N</t>
  </si>
  <si>
    <t xml:space="preserve">A.S.3942-26</t>
  </si>
  <si>
    <t xml:space="preserve">RUA QUATRO IRMÃOS, S/N, BOA VISTA/CASTELÃO, Fortaleza - CE, Brasil</t>
  </si>
  <si>
    <t xml:space="preserve">382</t>
  </si>
  <si>
    <t xml:space="preserve">CEI PROFESSORA LAIS DE SOUSA VIEIRA NOBRE</t>
  </si>
  <si>
    <t xml:space="preserve">RUA PEDRO DE SOUZA, S/N</t>
  </si>
  <si>
    <t xml:space="preserve">RUA PEDRO DE SOUZA, S/N, PARQUE SANTA MARIA, Fortaleza - CE, Brasil</t>
  </si>
  <si>
    <t xml:space="preserve">826</t>
  </si>
  <si>
    <t xml:space="preserve">CEI JOAO MARCAL MESQUITA</t>
  </si>
  <si>
    <t xml:space="preserve">RUA ROCHA POMBO, S/N</t>
  </si>
  <si>
    <t xml:space="preserve">RUA ROCHA POMBO, S/N, FLORESTA, Fortaleza - CE, Brasil</t>
  </si>
  <si>
    <t xml:space="preserve">839</t>
  </si>
  <si>
    <t xml:space="preserve">CEI PROFESSORA HELEY DE ABREU SILVA BATISTA</t>
  </si>
  <si>
    <t xml:space="preserve">RUA PARAGUAÇU, S/N</t>
  </si>
  <si>
    <t xml:space="preserve">RUA PARAGUAÇU, S/N, SERRINHA, Fortaleza - CE, Brasil</t>
  </si>
  <si>
    <t xml:space="preserve">955</t>
  </si>
  <si>
    <t xml:space="preserve">CEI PADRE JOSE MARIA CAVALCANTE COSTA</t>
  </si>
  <si>
    <t xml:space="preserve">RUA F, S/N (RES. GUAJERÚ)</t>
  </si>
  <si>
    <t xml:space="preserve">GUAJERU</t>
  </si>
  <si>
    <t xml:space="preserve">RUA F, S/N (RES. GUAJERÚ), GUAJERU, Fortaleza - CE, Brasil</t>
  </si>
  <si>
    <t xml:space="preserve">962</t>
  </si>
  <si>
    <t xml:space="preserve">CEI ARIEVALDO VIANA</t>
  </si>
  <si>
    <t xml:space="preserve">RUA CORONEL DE QUEIROZ, S/N</t>
  </si>
  <si>
    <t xml:space="preserve">RUA CORONEL DE QUEIROZ, S/N, PLANALTO AYRTON SENNA, Fortaleza - CE, Brasil</t>
  </si>
  <si>
    <t xml:space="preserve">980</t>
  </si>
  <si>
    <t xml:space="preserve">CEI DEPUTADO EDSON QUEIROZ FILHO</t>
  </si>
  <si>
    <t xml:space="preserve">RUA JAIME ALMEIDA, S/N</t>
  </si>
  <si>
    <t xml:space="preserve">RUA JAIME ALMEIDA, S/N, EDSON QUEIROZ, Fortaleza - CE, Brasil</t>
  </si>
  <si>
    <t xml:space="preserve">981</t>
  </si>
  <si>
    <t xml:space="preserve">CEI PROFESSOR GENUINO FRANCISCO DE SALES</t>
  </si>
  <si>
    <t xml:space="preserve">RUA 12H, S/N (LOT. CIDADE JARDIM FORTALEZA)</t>
  </si>
  <si>
    <t xml:space="preserve">RUA 12H, S/N (LOT. CIDADE JARDIM FORTALEZA), PREFEITO JOSÉ WALTER, Fortaleza - CE, Brasil</t>
  </si>
  <si>
    <t xml:space="preserve">982</t>
  </si>
  <si>
    <t xml:space="preserve">CEI MARIA DAS DORES BEZERRA DE CARVALHO</t>
  </si>
  <si>
    <t xml:space="preserve">RUA MANUEL BERNARDO, 11</t>
  </si>
  <si>
    <t xml:space="preserve">SAPIRANGA/COITÉ</t>
  </si>
  <si>
    <t xml:space="preserve">RUA MANUEL BERNARDO, 11, SAPIRANGA/COITÉ, Fortaleza - CE, Brasil</t>
  </si>
  <si>
    <t xml:space="preserve">983</t>
  </si>
  <si>
    <t xml:space="preserve">CEI DOM BEDA PEREIRA DE HOLANDA</t>
  </si>
  <si>
    <t xml:space="preserve">RUA MARIA FERREIRA DOS SANTOS, S/N</t>
  </si>
  <si>
    <t xml:space="preserve">RUA MARIA FERREIRA DOS SANTOS, S/N, SÃO BENTO, Fortaleza - CE, Brasil</t>
  </si>
  <si>
    <t xml:space="preserve">989</t>
  </si>
  <si>
    <t xml:space="preserve">CEI ANA AMELIA BEZERRA DE MENEZES E SOUSA</t>
  </si>
  <si>
    <t xml:space="preserve">RUA G, S/N (LOT. DOS EXPEDICIONARIOS II)</t>
  </si>
  <si>
    <t xml:space="preserve">RUA G, S/N (LOT. DOS EXPEDICIONARIOS II), RACHEL DE QUEIROZ, Fortaleza - CE, Brasil</t>
  </si>
  <si>
    <t xml:space="preserve">990</t>
  </si>
  <si>
    <t xml:space="preserve">CEI FRANCISCO SALES FERNANDES</t>
  </si>
  <si>
    <t xml:space="preserve">AVENIDA K, S/N</t>
  </si>
  <si>
    <t xml:space="preserve">AVENIDA K, S/N, PREFEITO JOSÉ WALTER, Fortaleza - CE, Brasil</t>
  </si>
  <si>
    <t xml:space="preserve">991</t>
  </si>
  <si>
    <t xml:space="preserve">CEI RACHEL GUIMARAES MARTINS BARBOSA</t>
  </si>
  <si>
    <t xml:space="preserve">VIA LOCAL LESTE OESTE 02, S/N</t>
  </si>
  <si>
    <t xml:space="preserve">VIA LOCAL LESTE OESTE 02, S/N, CAIS DO PORTO, Fortaleza - CE, Brasil</t>
  </si>
  <si>
    <t xml:space="preserve">788</t>
  </si>
  <si>
    <t xml:space="preserve">CEI VILA DO MAR</t>
  </si>
  <si>
    <t xml:space="preserve">RUA DR. JOSÉ ROBERTO SALES, S/N</t>
  </si>
  <si>
    <t xml:space="preserve">A.S. 3959-26</t>
  </si>
  <si>
    <t xml:space="preserve">RUA DR. JOSÉ ROBERTO SALES, S/N, BARRA DO CEARÁ, Fortaleza - CE, Brasil</t>
  </si>
  <si>
    <t xml:space="preserve">488</t>
  </si>
  <si>
    <t xml:space="preserve">ESCOLA MUNICIPAL HONORIO BEZERRA </t>
  </si>
  <si>
    <t xml:space="preserve">RUA CAPITÃO NESTOR GÓIS, 400</t>
  </si>
  <si>
    <t xml:space="preserve">ELLERY</t>
  </si>
  <si>
    <t xml:space="preserve">A.S.4017-26</t>
  </si>
  <si>
    <t xml:space="preserve">RUA CAPITÃO NESTOR GÓIS, 400, ELLERY, Fortaleza - CE, Brasil</t>
  </si>
  <si>
    <t xml:space="preserve">370</t>
  </si>
  <si>
    <t xml:space="preserve">CEI DOM ALOISIO LORSCHEIDER</t>
  </si>
  <si>
    <t xml:space="preserve">AV. SENADOR CARLOS JEREISSATI, 395</t>
  </si>
  <si>
    <t xml:space="preserve">A.S. 3956-26</t>
  </si>
  <si>
    <t xml:space="preserve">AV. SENADOR CARLOS JEREISSATI, 395, PRAIA DO FUTURO I, Fortaleza - CE, Brasil</t>
  </si>
  <si>
    <t xml:space="preserve">374</t>
  </si>
  <si>
    <t xml:space="preserve">CEI JORNALISTA JOSE BLANCHARD GIRAO DA SILVA</t>
  </si>
  <si>
    <t xml:space="preserve">TRAV. MISSIONÁRIO OLIVEIRA, 301</t>
  </si>
  <si>
    <t xml:space="preserve">A.S. 3947-26</t>
  </si>
  <si>
    <t xml:space="preserve">TRAV. MISSIONÁRIO OLIVEIRA, 301, JANGURUSSU, Fortaleza - CE, Brasil</t>
  </si>
  <si>
    <t xml:space="preserve">397</t>
  </si>
  <si>
    <t xml:space="preserve">CEI PROFESSORA MARIA ODNILRA CRUZ MOREIRA</t>
  </si>
  <si>
    <t xml:space="preserve">RUA VITÓRIA DA CONQUISTA, 1441</t>
  </si>
  <si>
    <t xml:space="preserve">MANUEL DIAS BRANCO</t>
  </si>
  <si>
    <t xml:space="preserve">RUA VITÓRIA DA CONQUISTA, 1441, MANUEL DIAS BRANCO, Fortaleza - CE, Brasil</t>
  </si>
  <si>
    <t xml:space="preserve">407</t>
  </si>
  <si>
    <t xml:space="preserve">CEI JORNALISTA IVONETE MAIA</t>
  </si>
  <si>
    <t xml:space="preserve">RUA MANOEL DE AGUIAR PONTES, 1525</t>
  </si>
  <si>
    <t xml:space="preserve">A.S. 3950-26</t>
  </si>
  <si>
    <t xml:space="preserve">RUA MANOEL DE AGUIAR PONTES, 1525, BOA VISTA/CASTELÃO, Fortaleza - CE, Brasil</t>
  </si>
  <si>
    <t xml:space="preserve">1016</t>
  </si>
  <si>
    <t xml:space="preserve">CEI VEREADOR FRANCISCO ANTONIO MARTINS NOGUEIRA</t>
  </si>
  <si>
    <t xml:space="preserve">RUA RAIMUNDO PINHEIRO, S/N</t>
  </si>
  <si>
    <t xml:space="preserve">RUA RAIMUNDO PINHEIRO, S/N, RACHEL DE QUEIROZ, Fortaleza - CE, Brasil</t>
  </si>
  <si>
    <t xml:space="preserve">120</t>
  </si>
  <si>
    <t xml:space="preserve">ESCOLA MUNICIPAL GEISA FIRMO GONCALVES </t>
  </si>
  <si>
    <t xml:space="preserve">RUA ZULEICA PONTES, 1260</t>
  </si>
  <si>
    <t xml:space="preserve">A.S.4044-26</t>
  </si>
  <si>
    <t xml:space="preserve">RUA ZULEICA PONTES, 1260, PLANALTO AYRTON SENNA, Fortaleza - CE, Brasil</t>
  </si>
  <si>
    <t xml:space="preserve">137</t>
  </si>
  <si>
    <t xml:space="preserve">ESCOLA MUNICIPAL MANOEL RODRIGUES </t>
  </si>
  <si>
    <t xml:space="preserve">RUA MARIA CLARA, 1237</t>
  </si>
  <si>
    <t xml:space="preserve">RUA MARIA CLARA, 1237, JARDIM GUANABARA, Fortaleza - CE, Brasil</t>
  </si>
  <si>
    <t xml:space="preserve">143</t>
  </si>
  <si>
    <t xml:space="preserve">ESCOLA MUNICIPAL JOSE CARLOS MATOS</t>
  </si>
  <si>
    <t xml:space="preserve">RUA ITAJAÍ, 802</t>
  </si>
  <si>
    <t xml:space="preserve">RUA ITAJAÍ, 802, GRANJA PORTUGAL, Fortaleza - CE, Brasil</t>
  </si>
  <si>
    <t xml:space="preserve">160</t>
  </si>
  <si>
    <t xml:space="preserve">ESCOLA MUNICIPAL MARIA MARIZA MENDES DE CARVALHO</t>
  </si>
  <si>
    <t xml:space="preserve">1032</t>
  </si>
  <si>
    <t xml:space="preserve">CEI PETRONILLA  ISONNI</t>
  </si>
  <si>
    <t xml:space="preserve">AV. LAURO VIEIRA CHAVES, S/N</t>
  </si>
  <si>
    <t xml:space="preserve">AEROPORTO</t>
  </si>
  <si>
    <t xml:space="preserve">AV. LAURO VIEIRA CHAVES, S/N, AEROPORTO, Fortaleza - CE, Brasil</t>
  </si>
  <si>
    <t xml:space="preserve">210</t>
  </si>
  <si>
    <t xml:space="preserve">ESCOLA MUNICIPAL SAO JOSE </t>
  </si>
  <si>
    <t xml:space="preserve">AV. DOUTOR THEBERGE, 2288</t>
  </si>
  <si>
    <t xml:space="preserve">A.S. 3832-25</t>
  </si>
  <si>
    <t xml:space="preserve">AV. DOUTOR THEBERGE, 2288, PRESIDENTE KENNEDY, Fortaleza - CE, Brasil</t>
  </si>
  <si>
    <t xml:space="preserve">216</t>
  </si>
  <si>
    <t xml:space="preserve">ESCOLA MUNICIPAL MONSENHOR LINHARES </t>
  </si>
  <si>
    <t xml:space="preserve">RUA PROFESSOR LINO ENCARNAÇÃO, 1130</t>
  </si>
  <si>
    <t xml:space="preserve">AMADEU FURTADO</t>
  </si>
  <si>
    <t xml:space="preserve">RUA PROFESSOR LINO ENCARNAÇÃO, 1130, AMADEU FURTADO, Fortaleza - CE, Brasil</t>
  </si>
  <si>
    <t xml:space="preserve">151</t>
  </si>
  <si>
    <t xml:space="preserve">ESCOLA MUNICIPAL SAO CARLOS</t>
  </si>
  <si>
    <t xml:space="preserve">TV. BRASIL, 120</t>
  </si>
  <si>
    <t xml:space="preserve">A.S. 3831-25</t>
  </si>
  <si>
    <t xml:space="preserve">TV. BRASIL, 120, QUINTINO CUNHA, Fortaleza - CE, Brasil</t>
  </si>
  <si>
    <t xml:space="preserve">1033</t>
  </si>
  <si>
    <t xml:space="preserve">CEI ESMERINDA SOARES DA SILVA</t>
  </si>
  <si>
    <t xml:space="preserve">RUA AURISTELA MAIA FARIAS, S/N</t>
  </si>
  <si>
    <t xml:space="preserve">RUA AURISTELA MAIA FARIAS, S/N, ENGENHEIRO LUCIANO CAVALCANTE, Fortaleza - CE, Brasil</t>
  </si>
  <si>
    <t xml:space="preserve">256</t>
  </si>
  <si>
    <t xml:space="preserve">ESCOLA MUNICIPAL PROFESSOR JOSE PARSIFAL BARROSO </t>
  </si>
  <si>
    <t xml:space="preserve">RUA MAJOR ASSIS, 1076</t>
  </si>
  <si>
    <t xml:space="preserve">RUA MAJOR ASSIS, 1076, JARDIM GUANABARA, Fortaleza - CE, Brasil</t>
  </si>
  <si>
    <t xml:space="preserve">1034</t>
  </si>
  <si>
    <t xml:space="preserve">CEI PEDRO FERREIRA MESQUITA</t>
  </si>
  <si>
    <t xml:space="preserve">VIA PROJETADA 4, S/N (RES. LUIZ GONZAGA)</t>
  </si>
  <si>
    <t xml:space="preserve">VIA PROJETADA 4, S/N (RES. LUIZ GONZAGA), JANGURUSSU, Fortaleza - CE, Brasil</t>
  </si>
  <si>
    <t xml:space="preserve">309</t>
  </si>
  <si>
    <t xml:space="preserve">ESCOLA MUNICIPAL FRANCISCA DE ABREU LIMA</t>
  </si>
  <si>
    <t xml:space="preserve">RUA HUMBERTO DE ALMEIDA, 535</t>
  </si>
  <si>
    <t xml:space="preserve">RUA HUMBERTO DE ALMEIDA, 535, CANINDEZINHO, Fortaleza - CE, Brasil</t>
  </si>
  <si>
    <t xml:space="preserve">1035</t>
  </si>
  <si>
    <t xml:space="preserve">CEI  PROFESSOR MIRTON LA MARQUES</t>
  </si>
  <si>
    <t xml:space="preserve">RUA JOÃO XXIII, S/N</t>
  </si>
  <si>
    <t xml:space="preserve">RUA JOÃO XXIII, S/N, GRANJA PORTUGAL, Fortaleza - CE, Brasil</t>
  </si>
  <si>
    <t xml:space="preserve">339</t>
  </si>
  <si>
    <t xml:space="preserve">ESCOLA MUNICIPAL SAGRADO CORACAO</t>
  </si>
  <si>
    <t xml:space="preserve">RUA HOLANDA, 477</t>
  </si>
  <si>
    <t xml:space="preserve">MARAPONGA</t>
  </si>
  <si>
    <t xml:space="preserve">RUA HOLANDA, 477, MARAPONGA, Fortaleza - CE, Brasil</t>
  </si>
  <si>
    <t xml:space="preserve">357</t>
  </si>
  <si>
    <t xml:space="preserve">ESCOLA MUNICIPAL PAULO SERGIO DE SOUSA LIRA </t>
  </si>
  <si>
    <t xml:space="preserve">RUA ITABORAÍ, 264</t>
  </si>
  <si>
    <t xml:space="preserve">RUA ITABORAÍ, 264, PASSARÉ, Fortaleza - CE, Brasil</t>
  </si>
  <si>
    <t xml:space="preserve">497</t>
  </si>
  <si>
    <t xml:space="preserve">CEI PROFESSORA MARIA DO SOCORRO FERREIRA VIRINO</t>
  </si>
  <si>
    <t xml:space="preserve">AV. VALPARAISO, 339</t>
  </si>
  <si>
    <t xml:space="preserve">AV. VALPARAISO, 339, CONJUNTO PALMEIRAS, Fortaleza - CE, Brasil</t>
  </si>
  <si>
    <t xml:space="preserve">874</t>
  </si>
  <si>
    <t xml:space="preserve">ESCOLA MUNICIPAL NELSON MANDELA </t>
  </si>
  <si>
    <t xml:space="preserve">AV. C, 435</t>
  </si>
  <si>
    <t xml:space="preserve">AV. C, 435, PREFEITO JOSÉ WALTER, Fortaleza - CE, Brasil</t>
  </si>
  <si>
    <t xml:space="preserve">431</t>
  </si>
  <si>
    <t xml:space="preserve">CEI CHICO ANYSIO</t>
  </si>
  <si>
    <t xml:space="preserve">RUA ALVES BEZERRA, 788</t>
  </si>
  <si>
    <t xml:space="preserve">A.S. 3951-26</t>
  </si>
  <si>
    <t xml:space="preserve">RUA ALVES BEZERRA, 788, SIQUEIRA, Fortaleza - CE, Brasil</t>
  </si>
  <si>
    <t xml:space="preserve">1038</t>
  </si>
  <si>
    <t xml:space="preserve">CEI MARIA FERREIRA DIAS</t>
  </si>
  <si>
    <t xml:space="preserve">AV. ZEZÉ DIOGO, S/N</t>
  </si>
  <si>
    <t xml:space="preserve">AV. ZEZÉ DIOGO, S/N, CAIS DO PORTO, Fortaleza - CE, Brasil</t>
  </si>
  <si>
    <t xml:space="preserve">1106</t>
  </si>
  <si>
    <t xml:space="preserve">CENTRO DE EDUCAÇÃO INFANTIL FRANCISCA RODRIGUES DE SOUSA</t>
  </si>
  <si>
    <t xml:space="preserve">RUA E, S/N (CJ. JARDIM PRIMAVERA)</t>
  </si>
  <si>
    <t xml:space="preserve">RUA E, S/N (CJ. JARDIM PRIMAVERA), PARQUE DOIS IRMÃOS, Fortaleza - CE, Brasil</t>
  </si>
  <si>
    <t xml:space="preserve">1107</t>
  </si>
  <si>
    <t xml:space="preserve">CEI MARIA DA CONCEIÇÃO HOLANDA CAVALCANTE</t>
  </si>
  <si>
    <t xml:space="preserve">RUA JOCKEY CLUB, S/N</t>
  </si>
  <si>
    <t xml:space="preserve">RUA JOCKEY CLUB, S/N, HENRIQUE JORGE, Fortaleza - CE, Brasil</t>
  </si>
  <si>
    <t xml:space="preserve">1108</t>
  </si>
  <si>
    <t xml:space="preserve">CEI PROFESSOR FRANCISCO ROSELY DINIZ</t>
  </si>
  <si>
    <t xml:space="preserve">RUA E, S/N (LOT. CIDADE JARDIM I)</t>
  </si>
  <si>
    <t xml:space="preserve">RUA E, S/N (LOT. CIDADE JARDIM I), PREFEITO JOSÉ WALTER, Fortaleza - CE, Brasil</t>
  </si>
  <si>
    <t xml:space="preserve">1109</t>
  </si>
  <si>
    <t xml:space="preserve">CEI JOSIAS RABELO SANTOS</t>
  </si>
  <si>
    <t xml:space="preserve">VIA ARTERIAL PROJETADA, S/N (LOT. CIDADE JARDIM II)</t>
  </si>
  <si>
    <t xml:space="preserve">VIA ARTERIAL PROJETADA, S/N (LOT. CIDADE JARDIM II), PREFEITO JOSÉ WALTER, Fortaleza - CE, Brasil</t>
  </si>
  <si>
    <t xml:space="preserve">1110</t>
  </si>
  <si>
    <t xml:space="preserve">CEI ANTONIO CESAR PEREIRA PINHEIRO</t>
  </si>
  <si>
    <t xml:space="preserve">RUA DELMINDA SILVEIRA, S/N</t>
  </si>
  <si>
    <t xml:space="preserve">RUA DELMINDA SILVEIRA, S/N, JANGURUSSU, Fortaleza - CE, Brasil</t>
  </si>
  <si>
    <t xml:space="preserve">1118</t>
  </si>
  <si>
    <t xml:space="preserve">CENTRO DE EDUCAÇÃO INFANTIL PAULO CESAR FEITOSA</t>
  </si>
  <si>
    <t xml:space="preserve">RUA SOLON CARVALHO, S/N</t>
  </si>
  <si>
    <t xml:space="preserve">CIDADE 2000</t>
  </si>
  <si>
    <t xml:space="preserve">RUA SOLON CARVALHO, S/N, CIDADE 2000, Fortaleza - CE, Brasil</t>
  </si>
  <si>
    <t xml:space="preserve">1015</t>
  </si>
  <si>
    <t xml:space="preserve">CEI FRANCISCO EURIVA MATIAS</t>
  </si>
  <si>
    <t xml:space="preserve">RUA FREI MARCELINO, S/N</t>
  </si>
  <si>
    <t xml:space="preserve">RUA FREI MARCELINO, S/N, RODOLFO TEÓFILO, Fortaleza - CE, Brasil</t>
  </si>
  <si>
    <t xml:space="preserve">155</t>
  </si>
  <si>
    <t xml:space="preserve">ESCOLA MUNICIPAL DOM JOSE TUPINAMBA DA FROTA</t>
  </si>
  <si>
    <t xml:space="preserve">RUA VIRIATO RIBEIRO, 1031</t>
  </si>
  <si>
    <t xml:space="preserve">RUA VIRIATO RIBEIRO, 1031, BELA VISTA, Fortaleza - CE, Brasil</t>
  </si>
  <si>
    <t xml:space="preserve">945</t>
  </si>
  <si>
    <t xml:space="preserve">ESCOLA MUNICIPAL DE TEMPO INTEGRAL PROFESSOR PRISCO BEZERRA </t>
  </si>
  <si>
    <t xml:space="preserve">AV. F, 702</t>
  </si>
  <si>
    <t xml:space="preserve">AV. F, 702, CONJUNTO CEARÁ I, Fortaleza - CE, Brasil</t>
  </si>
  <si>
    <t xml:space="preserve">985</t>
  </si>
  <si>
    <t xml:space="preserve">ESCOLA MUNICIPAL DE TEMPO INTEGRAL MARIA DA HORA</t>
  </si>
  <si>
    <t xml:space="preserve">RUA RAIMUNDO RIBEIRO, 402</t>
  </si>
  <si>
    <t xml:space="preserve">RUA RAIMUNDO RIBEIRO, 402, AUTRAN NUNES, Fortaleza - CE, Brasil</t>
  </si>
  <si>
    <t xml:space="preserve">1111</t>
  </si>
  <si>
    <t xml:space="preserve">ESCOLA MUNICIPAL DE TEMPO INTEGRAL JOSE CARLOS DE OLIVEIRA NETO</t>
  </si>
  <si>
    <t xml:space="preserve">RUA SÃO VICENTE DE PAULO, 170</t>
  </si>
  <si>
    <t xml:space="preserve">RUA SÃO VICENTE DE PAULO, 170, ANTÔNIO BEZERRA, Fortaleza - CE, Brasil</t>
  </si>
  <si>
    <t xml:space="preserve">243</t>
  </si>
  <si>
    <t xml:space="preserve">ESCOLA MUNICIPAL NILSON HOLANDA </t>
  </si>
  <si>
    <t xml:space="preserve">RUA VIRIATO RIBEIRO, 890</t>
  </si>
  <si>
    <t xml:space="preserve">A.S.4018-26</t>
  </si>
  <si>
    <t xml:space="preserve">RUA VIRIATO RIBEIRO, 890, BELA VISTA, Fortaleza - CE, Brasil</t>
  </si>
  <si>
    <t xml:space="preserve">1290</t>
  </si>
  <si>
    <t xml:space="preserve">CEI JOSE BARROS CRISOSTOMO</t>
  </si>
  <si>
    <t xml:space="preserve">AV. ALANIS MARIA LAURINDO DE OLIVEIRA, 461</t>
  </si>
  <si>
    <t xml:space="preserve">AV. ALANIS MARIA LAURINDO DE OLIVEIRA, 461, CONJUNTO CEARÁ I, Fortaleza - CE, Brasil</t>
  </si>
  <si>
    <t xml:space="preserve">1291</t>
  </si>
  <si>
    <t xml:space="preserve">CEI OTACILIO DE SA PEREIRA BESSA</t>
  </si>
  <si>
    <t xml:space="preserve">RUA AFRÂNIO PEIXOTO, S/N</t>
  </si>
  <si>
    <t xml:space="preserve">RUA AFRÂNIO PEIXOTO, S/N, PARANGABA, Fortaleza - CE, Brasil</t>
  </si>
  <si>
    <t xml:space="preserve">1317</t>
  </si>
  <si>
    <t xml:space="preserve">CEI LUZIE TORQUATO DA COSTA</t>
  </si>
  <si>
    <t xml:space="preserve">RUA RAIMUNDO RIBEIRO, S/N</t>
  </si>
  <si>
    <t xml:space="preserve">RUA RAIMUNDO RIBEIRO, S/N, AUTRAN NUNES, Fortaleza - CE, Brasil</t>
  </si>
  <si>
    <t xml:space="preserve">798</t>
  </si>
  <si>
    <t xml:space="preserve">CEI FRANCISCA DE ABREU LIMA</t>
  </si>
  <si>
    <t xml:space="preserve">RUA C, S/N (LOTEAMENTO SIQUEIRA II)</t>
  </si>
  <si>
    <t xml:space="preserve">RUA C, S/N (LOTEAMENTO SIQUEIRA II), SIQUEIRA, Fortaleza - CE, Brasil</t>
  </si>
  <si>
    <t xml:space="preserve">809</t>
  </si>
  <si>
    <t xml:space="preserve">CEI PROFESSOR AGOSTINHO GOSSON</t>
  </si>
  <si>
    <t xml:space="preserve">RUA H, S/N ( CONJUNTO NOVA RESIDÊNCIA)</t>
  </si>
  <si>
    <t xml:space="preserve">RUA H, S/N ( CONJUNTO NOVA RESIDÊNCIA), GRANJA LISBOA, Fortaleza - CE, Brasil</t>
  </si>
  <si>
    <t xml:space="preserve">278</t>
  </si>
  <si>
    <t xml:space="preserve">ESCOLA MUNICIPAL RAIMUNDO SOARES DE SOUZA </t>
  </si>
  <si>
    <t xml:space="preserve">RUA COSTA FREIRE, 550</t>
  </si>
  <si>
    <t xml:space="preserve">VILA PERI</t>
  </si>
  <si>
    <t xml:space="preserve">A.S. Nº 3954/26</t>
  </si>
  <si>
    <t xml:space="preserve">RUA COSTA FREIRE, 550, VILA PERI, Fortaleza - CE, Brasil</t>
  </si>
  <si>
    <t xml:space="preserve">829</t>
  </si>
  <si>
    <t xml:space="preserve">CEI MARISTELA DA FROTA CAVALCANTE</t>
  </si>
  <si>
    <t xml:space="preserve">AV. L, 1000</t>
  </si>
  <si>
    <t xml:space="preserve">AV. L, 1000, VILA VELHA, Fortaleza - CE, Brasil</t>
  </si>
  <si>
    <t xml:space="preserve">162</t>
  </si>
  <si>
    <t xml:space="preserve">ESCOLA MUNICIPAL MOURA BRASIL</t>
  </si>
  <si>
    <t xml:space="preserve">RUA PADRE MORORÓ, 189</t>
  </si>
  <si>
    <t xml:space="preserve">A.S. Nº 4046-26</t>
  </si>
  <si>
    <t xml:space="preserve">RUA PADRE MORORÓ, 189, MOURA BRASIL, Fortaleza - CE, Brasil</t>
  </si>
  <si>
    <t xml:space="preserve">176</t>
  </si>
  <si>
    <t xml:space="preserve">ESCOLA MUNICIPAL JOAQUIM ALVES</t>
  </si>
  <si>
    <t xml:space="preserve">RUA COSTA DO SOL, 1061</t>
  </si>
  <si>
    <t xml:space="preserve">R$ 66.842,79</t>
  </si>
  <si>
    <t xml:space="preserve">A.S. 3933-26</t>
  </si>
  <si>
    <t xml:space="preserve">A.S. 3934-26</t>
  </si>
  <si>
    <t xml:space="preserve">RUA COSTA DO SOL, 1061, SIQUEIRA, Fortaleza - CE, Brasil</t>
  </si>
  <si>
    <t xml:space="preserve">240</t>
  </si>
  <si>
    <t xml:space="preserve">ESCOLA MUNICIPAL FRANCISCO EDILSON PINHEIRO</t>
  </si>
  <si>
    <t xml:space="preserve">RUA N, 35</t>
  </si>
  <si>
    <t xml:space="preserve">A.S. 3966-26</t>
  </si>
  <si>
    <t xml:space="preserve">RUA N, 35, VILA VELHA, Fortaleza - CE, Brasil</t>
  </si>
  <si>
    <t xml:space="preserve">86</t>
  </si>
  <si>
    <t xml:space="preserve">ESCOLA MUNICIPAL PROFESSOR CLODOALDO PINTO</t>
  </si>
  <si>
    <t xml:space="preserve">RUA BANVARTH BEZERRA, 100</t>
  </si>
  <si>
    <t xml:space="preserve">A.S.3976-26</t>
  </si>
  <si>
    <t xml:space="preserve">RUA BANVARTH BEZERRA, 100, PADRE ANDRADE, Fortaleza - CE, Brasil</t>
  </si>
  <si>
    <t xml:space="preserve">224</t>
  </si>
  <si>
    <t xml:space="preserve">ESCOLA MUNICIPAL FRANCISCO EDMILSON PINHEIRO</t>
  </si>
  <si>
    <t xml:space="preserve">140</t>
  </si>
  <si>
    <t xml:space="preserve">ESCOLA MUNICIPAL LENIRA JUREMA DE MAGALHAES</t>
  </si>
  <si>
    <t xml:space="preserve">RUA TEÓFILO GURGEL, 111</t>
  </si>
  <si>
    <t xml:space="preserve">A.S.3993-26</t>
  </si>
  <si>
    <t xml:space="preserve">RUA TEÓFILO GURGEL, 111, MONTE CASTELO, Fortaleza - CE, Brasil</t>
  </si>
  <si>
    <t xml:space="preserve">831</t>
  </si>
  <si>
    <t xml:space="preserve">CEI PROFESSOR JOSE TEODORO SOARES</t>
  </si>
  <si>
    <t xml:space="preserve">AV. DAS PALMEIRAS IMPERIAIS, S/N</t>
  </si>
  <si>
    <t xml:space="preserve">AV. DAS PALMEIRAS IMPERIAIS, S/N, PEDRAS, Fortaleza - CE, Brasil</t>
  </si>
  <si>
    <t xml:space="preserve">90</t>
  </si>
  <si>
    <t xml:space="preserve">ESCOLA MUNICIPAL AUTRAN NUNES</t>
  </si>
  <si>
    <t xml:space="preserve">RUA VIRGÍLIO BRANDÃO, S/N</t>
  </si>
  <si>
    <t xml:space="preserve">RUA VIRGÍLIO BRANDÃO, S/N, AUTRAN NUNES, Fortaleza - CE, Brasil</t>
  </si>
  <si>
    <t xml:space="preserve">91</t>
  </si>
  <si>
    <t xml:space="preserve">ESCOLA MUNICIPAL DONA DAGMAR GENTIL </t>
  </si>
  <si>
    <t xml:space="preserve">RUA VITÓRIA, 1740</t>
  </si>
  <si>
    <t xml:space="preserve">JOÃO XXIII</t>
  </si>
  <si>
    <t xml:space="preserve">RUA VITÓRIA, 1740, JOÃO XXIII, Fortaleza - CE, Brasil</t>
  </si>
  <si>
    <t xml:space="preserve">832</t>
  </si>
  <si>
    <t xml:space="preserve">CEI PROFESSORA LUIZA DE TEODORO VIEIRA</t>
  </si>
  <si>
    <t xml:space="preserve">114</t>
  </si>
  <si>
    <t xml:space="preserve">ESCOLA MUNICIPAL FREI AGOSTINHO FERNANDES</t>
  </si>
  <si>
    <t xml:space="preserve">124</t>
  </si>
  <si>
    <t xml:space="preserve">ESCOLA MUNICIPAL MANOEL CAETANO DE SOUZA</t>
  </si>
  <si>
    <t xml:space="preserve">RUA SANTA LÚCIA, 211</t>
  </si>
  <si>
    <t xml:space="preserve">RUA SANTA LÚCIA, 211, GENIBAÚ, Fortaleza - CE, Brasil</t>
  </si>
  <si>
    <t xml:space="preserve">128</t>
  </si>
  <si>
    <t xml:space="preserve">ESCOLA MUNICIPAL GOVERNADOR FAUSTINO DE ALBUQUERQUE</t>
  </si>
  <si>
    <t xml:space="preserve">RUA 143, 155</t>
  </si>
  <si>
    <t xml:space="preserve">RUA 143, 155, CONJUNTO CEARÁ II, Fortaleza - CE, Brasil</t>
  </si>
  <si>
    <t xml:space="preserve">129</t>
  </si>
  <si>
    <t xml:space="preserve">ESCOLA MUNICIPAL MARIA ALICE</t>
  </si>
  <si>
    <t xml:space="preserve">RUA RAIMUNDO OLIVEIRA FILHO, 95</t>
  </si>
  <si>
    <t xml:space="preserve">RUA RAIMUNDO OLIVEIRA FILHO, 95, PAPICU, Fortaleza - CE, Brasil</t>
  </si>
  <si>
    <t xml:space="preserve">133</t>
  </si>
  <si>
    <t xml:space="preserve">ESCOLA MUNICIPAL WALDEMAR BARROSO </t>
  </si>
  <si>
    <t xml:space="preserve">RUA CÔNEGO LIMA SUCUPIRA, 410</t>
  </si>
  <si>
    <t xml:space="preserve">RUA CÔNEGO LIMA SUCUPIRA, 410, SERRINHA, Fortaleza - CE, Brasil</t>
  </si>
  <si>
    <t xml:space="preserve">100</t>
  </si>
  <si>
    <t xml:space="preserve">ESCOLA MUNICIPAL FREI LAURO SCHWARTE </t>
  </si>
  <si>
    <t xml:space="preserve">RUA ANTONIO POMPEU, 2005</t>
  </si>
  <si>
    <t xml:space="preserve">FARIAS BRITO</t>
  </si>
  <si>
    <t xml:space="preserve">A.S.4028-26</t>
  </si>
  <si>
    <t xml:space="preserve">RUA ANTONIO POMPEU, 2005, FARIAS BRITO, Fortaleza - CE, Brasil</t>
  </si>
  <si>
    <t xml:space="preserve">946</t>
  </si>
  <si>
    <t xml:space="preserve">CEI MANOEL PINHEIRO DOS SANTOS</t>
  </si>
  <si>
    <t xml:space="preserve">RUA MAJOR LADISLAU LOURENÇO, S/N</t>
  </si>
  <si>
    <t xml:space="preserve">4. APROVAÇÃO A.S.</t>
  </si>
  <si>
    <t xml:space="preserve">ELÉTRICA PONTA</t>
  </si>
  <si>
    <t xml:space="preserve">A.S. 3940-26</t>
  </si>
  <si>
    <t xml:space="preserve">RUA MAJOR LADISLAU LOURENÇO, S/N, JANGURUSSU, Fortaleza - CE, Brasil</t>
  </si>
  <si>
    <t xml:space="preserve">833</t>
  </si>
  <si>
    <t xml:space="preserve">CEI AUGUSTO PONTES</t>
  </si>
  <si>
    <t xml:space="preserve">RUA HOLANDA, S/N</t>
  </si>
  <si>
    <t xml:space="preserve">RUA HOLANDA, S/N, RACHEL DE QUEIROZ, Fortaleza - CE, Brasil</t>
  </si>
  <si>
    <t xml:space="preserve">837</t>
  </si>
  <si>
    <t xml:space="preserve">CEI AIRTON JOSE VIDAL QUEIROZ</t>
  </si>
  <si>
    <t xml:space="preserve">RUA HERMÍNIO BARROSO, S/N</t>
  </si>
  <si>
    <t xml:space="preserve">ALTO DA BALANÇA</t>
  </si>
  <si>
    <t xml:space="preserve">RUA HERMÍNIO BARROSO, S/N, ALTO DA BALANÇA, Fortaleza - CE, Brasil</t>
  </si>
  <si>
    <t xml:space="preserve">856</t>
  </si>
  <si>
    <t xml:space="preserve">CEI HENRIQUE VENÂNCIO DA SILVA</t>
  </si>
  <si>
    <t xml:space="preserve">RUA OSÓRIO CORREIA, S/N</t>
  </si>
  <si>
    <t xml:space="preserve">RUA OSÓRIO CORREIA, S/N, PARQUE PRESIDENTE VARGAS, Fortaleza - CE, Brasil</t>
  </si>
  <si>
    <t xml:space="preserve">260</t>
  </si>
  <si>
    <t xml:space="preserve">ESCOLA MUNICIPAL SEBASTIAO DE ABREU </t>
  </si>
  <si>
    <t xml:space="preserve">RUA GERALDO BARBOSA, 1065</t>
  </si>
  <si>
    <t xml:space="preserve">RUA GERALDO BARBOSA, 1065, BOM JARDIM, Fortaleza - CE, Brasil</t>
  </si>
  <si>
    <t xml:space="preserve">916</t>
  </si>
  <si>
    <t xml:space="preserve">CEI MARIA LETICIA MOTA MOREIRA</t>
  </si>
  <si>
    <t xml:space="preserve">RUA 15C, S/N</t>
  </si>
  <si>
    <t xml:space="preserve">RUA 15C, S/N, PREFEITO JOSÉ WALTER, Fortaleza - CE, Brasil</t>
  </si>
  <si>
    <t xml:space="preserve">917</t>
  </si>
  <si>
    <t xml:space="preserve">CEI PROFESSOR CARLOS ROBERTO MARTINS RODRIGUES</t>
  </si>
  <si>
    <t xml:space="preserve">RUA 16C, S/N</t>
  </si>
  <si>
    <t xml:space="preserve">RUA 16C, S/N, PREFEITO JOSÉ WALTER, Fortaleza - CE, Brasil</t>
  </si>
  <si>
    <t xml:space="preserve">977</t>
  </si>
  <si>
    <t xml:space="preserve">CEI PROFESSORA MARIA LUIZA MOTA MACHADO</t>
  </si>
  <si>
    <t xml:space="preserve">RUA SERENA, S/N</t>
  </si>
  <si>
    <t xml:space="preserve">A.S. 3939-26</t>
  </si>
  <si>
    <t xml:space="preserve">RUA SERENA, S/N, SIQUEIRA, Fortaleza - CE, Brasil</t>
  </si>
  <si>
    <t xml:space="preserve">85</t>
  </si>
  <si>
    <t xml:space="preserve">ESCOLA MUNICIPAL PADRE JOSEFINO CABRAL EI/EF</t>
  </si>
  <si>
    <t xml:space="preserve">AV. SARGENTO HERMÍNIO, 5598</t>
  </si>
  <si>
    <t xml:space="preserve">R$ 4.166,88</t>
  </si>
  <si>
    <t xml:space="preserve">A.S. Nº 3749/25</t>
  </si>
  <si>
    <t xml:space="preserve">A.S. Nº 3759/25</t>
  </si>
  <si>
    <t xml:space="preserve">AV. SARGENTO HERMÍNIO, 5598, ANTÔNIO BEZERRA, Fortaleza - CE, Brasil</t>
  </si>
  <si>
    <t xml:space="preserve">767</t>
  </si>
  <si>
    <t xml:space="preserve">CEI MARIA LUIZA BARBOSA CHAVES</t>
  </si>
  <si>
    <t xml:space="preserve">RUA OSCAR FRANÇA, 267</t>
  </si>
  <si>
    <t xml:space="preserve">A.S. 3941-26</t>
  </si>
  <si>
    <t xml:space="preserve">RUA OSCAR FRANÇA, 267, BOM JARDIM, Fortaleza - CE, Brasil</t>
  </si>
  <si>
    <t xml:space="preserve">702</t>
  </si>
  <si>
    <t xml:space="preserve">ESCOLA MUNICIPAL DE TEMPO INTEGRAL EDUCACAO BILINGUE FRANCISCO SUDERLAND BASTOS MOTA</t>
  </si>
  <si>
    <t xml:space="preserve">AV. BERNARDO MANUEL, 9970A</t>
  </si>
  <si>
    <t xml:space="preserve">R$ 24.368,78</t>
  </si>
  <si>
    <t xml:space="preserve">A.S. Nº 3781/25</t>
  </si>
  <si>
    <t xml:space="preserve">A.S. Nº 3776/25</t>
  </si>
  <si>
    <t xml:space="preserve">AV. BERNARDO MANUEL, 9970A, RACHEL DE QUEIROZ, Fortaleza - CE, Brasil</t>
  </si>
  <si>
    <t xml:space="preserve">475</t>
  </si>
  <si>
    <t xml:space="preserve">CEI SAO CARLOS</t>
  </si>
  <si>
    <t xml:space="preserve">RUA DOS PESCADORES, 188</t>
  </si>
  <si>
    <t xml:space="preserve">RUA DOS PESCADORES, 188, QUINTINO CUNHA, Fortaleza - CE, Brasil</t>
  </si>
  <si>
    <t xml:space="preserve">496</t>
  </si>
  <si>
    <t xml:space="preserve">CEI DARCY RIBEIRO</t>
  </si>
  <si>
    <t xml:space="preserve">RUA FAUSTO CABRAL, 357</t>
  </si>
  <si>
    <t xml:space="preserve">RUA FAUSTO CABRAL, 357, VICENTE PINZÓN, Fortaleza - CE, Brasil</t>
  </si>
  <si>
    <t xml:space="preserve">963</t>
  </si>
  <si>
    <t xml:space="preserve">CEI DALILA DELMAS MONTENEGRO</t>
  </si>
  <si>
    <t xml:space="preserve">RUA 6, S/N (CONJ. ALTO ALEGRE)</t>
  </si>
  <si>
    <t xml:space="preserve">RUA 6, S/N (CONJ. ALTO ALEGRE), SÃO BENTO, Fortaleza - CE, Brasil</t>
  </si>
  <si>
    <t xml:space="preserve">888</t>
  </si>
  <si>
    <t xml:space="preserve">ESCOLA MUNICIPAL JORNALISTA DURVAL AIRES </t>
  </si>
  <si>
    <t xml:space="preserve">RUA DO SOL, 522</t>
  </si>
  <si>
    <t xml:space="preserve">RUA DO SOL, 522, PLANALTO AYRTON SENNA, Fortaleza - CE, Brasil</t>
  </si>
  <si>
    <t xml:space="preserve">890</t>
  </si>
  <si>
    <t xml:space="preserve">ESCOLA MUNICIPAL MARIA ROCHELLE DA SILVA </t>
  </si>
  <si>
    <t xml:space="preserve">RUA DELMIRO JÚNIOR, 50</t>
  </si>
  <si>
    <t xml:space="preserve">RUA DELMIRO JÚNIOR, 50, PLANALTO AYRTON SENNA, Fortaleza - CE, Brasil</t>
  </si>
  <si>
    <t xml:space="preserve">986</t>
  </si>
  <si>
    <t xml:space="preserve">CEI MARIA AGLAE GONÇALVES MONTEIRO</t>
  </si>
  <si>
    <t xml:space="preserve">RUA CÂNDIDO CASTELO BRANCO, S/N</t>
  </si>
  <si>
    <t xml:space="preserve">RUA CÂNDIDO CASTELO BRANCO, S/N, BARRA DO CEARÁ, Fortaleza - CE, Brasil</t>
  </si>
  <si>
    <t xml:space="preserve">1168</t>
  </si>
  <si>
    <t xml:space="preserve">CEI TEREZA D'ANA</t>
  </si>
  <si>
    <t xml:space="preserve">RUA CORONEL DE QUEIROZ, 750</t>
  </si>
  <si>
    <t xml:space="preserve">RUA CORONEL DE QUEIROZ, 750, PLANALTO AYRTON SENNA, Fortaleza - CE, Brasil</t>
  </si>
  <si>
    <t xml:space="preserve">988</t>
  </si>
  <si>
    <t xml:space="preserve">CEI IRMA ZEFERINA MARIA</t>
  </si>
  <si>
    <t xml:space="preserve">RUA CEL. JOÃO DE OLIVEIRA, S/N</t>
  </si>
  <si>
    <t xml:space="preserve">MESSEJANA</t>
  </si>
  <si>
    <t xml:space="preserve">RUA CEL. JOÃO DE OLIVEIRA, S/N, MESSEJANA, Fortaleza - CE, Brasil</t>
  </si>
  <si>
    <t xml:space="preserve">97</t>
  </si>
  <si>
    <t xml:space="preserve">ESCOLA MUNICIPAL IRMA GIULIANA GALLI</t>
  </si>
  <si>
    <t xml:space="preserve">RUA ANTONIO BOTELHO, 715</t>
  </si>
  <si>
    <t xml:space="preserve">R$ 39.968,99</t>
  </si>
  <si>
    <t xml:space="preserve">A.S. Nº 3782/25</t>
  </si>
  <si>
    <t xml:space="preserve">A.S. Nº 3778/25</t>
  </si>
  <si>
    <t xml:space="preserve">RUA ANTONIO BOTELHO, 715, SERRINHA, Fortaleza - CE, Brasil</t>
  </si>
  <si>
    <t xml:space="preserve">281</t>
  </si>
  <si>
    <t xml:space="preserve">ESCOLA MUNICIPAL PADRE CICERO ROMAO BATISTA</t>
  </si>
  <si>
    <t xml:space="preserve">RUA 114, 460</t>
  </si>
  <si>
    <t xml:space="preserve">R$ 33.117,51</t>
  </si>
  <si>
    <t xml:space="preserve">A.S. Nº 3798/25</t>
  </si>
  <si>
    <t xml:space="preserve">A.S. Nº 3786/25</t>
  </si>
  <si>
    <t xml:space="preserve">RUA 114, 460, CONJUNTO ESPERANÇA, Fortaleza - CE, Brasil</t>
  </si>
  <si>
    <t xml:space="preserve">415</t>
  </si>
  <si>
    <t xml:space="preserve">CEI MADRE TERESA DE CALCUTA</t>
  </si>
  <si>
    <t xml:space="preserve">RUA CAPITÃO BATISTA, S/N</t>
  </si>
  <si>
    <t xml:space="preserve">FÁTIMA</t>
  </si>
  <si>
    <t xml:space="preserve">R$ 105.424,76</t>
  </si>
  <si>
    <t xml:space="preserve">A.S. Nº 3862/25</t>
  </si>
  <si>
    <t xml:space="preserve">A.S. Nº 3858/25</t>
  </si>
  <si>
    <t xml:space="preserve">RUA CAPITÃO BATISTA, S/N, FÁTIMA, Fortaleza - CE, Brasil</t>
  </si>
  <si>
    <t xml:space="preserve">1182</t>
  </si>
  <si>
    <t xml:space="preserve">CEI JOSE EUCLIDES FERREIRA GOMES</t>
  </si>
  <si>
    <t xml:space="preserve">RUA F, S/N (CONJ. JOSÉ EUCLIDES)</t>
  </si>
  <si>
    <t xml:space="preserve">RUA F, S/N (CONJ. JOSÉ EUCLIDES), JANGURUSSU, Fortaleza - CE, Brasil</t>
  </si>
  <si>
    <t xml:space="preserve">1187</t>
  </si>
  <si>
    <t xml:space="preserve">CEI ANTONIO MOREIRA DE OLIVEIRA</t>
  </si>
  <si>
    <t xml:space="preserve">AVENIDA L, S/N</t>
  </si>
  <si>
    <t xml:space="preserve">AVENIDA L, S/N, CONJUNTO CEARÁ II, Fortaleza - CE, Brasil</t>
  </si>
  <si>
    <t xml:space="preserve">191</t>
  </si>
  <si>
    <t xml:space="preserve">ESCOLA MUNICIPAL DE TEMPO INTEGRAL PROFESSOR JOAQUIM FRANCISCO DE SOUSA FILHO </t>
  </si>
  <si>
    <t xml:space="preserve">RUA JOAQUIM MARQUES, 13</t>
  </si>
  <si>
    <t xml:space="preserve">RUA JOAQUIM MARQUES, 13, PRESIDENTE KENNEDY, Fortaleza - CE, Brasil</t>
  </si>
  <si>
    <t xml:space="preserve">166</t>
  </si>
  <si>
    <t xml:space="preserve">ESCOLA MUNICIPAL ALMERINDA DE ALBUQUERQUE</t>
  </si>
  <si>
    <t xml:space="preserve">RUA ANA GONÇALVES, 1105</t>
  </si>
  <si>
    <t xml:space="preserve">RUA ANA GONÇALVES, 1105, TAUAPE, Fortaleza - CE, Brasil</t>
  </si>
  <si>
    <t xml:space="preserve">183</t>
  </si>
  <si>
    <t xml:space="preserve">ESCOLA MUNICIPAL THOMAZ POMPEU SOBRINHO</t>
  </si>
  <si>
    <t xml:space="preserve">RUA JOSÉ MENELEU, 531</t>
  </si>
  <si>
    <t xml:space="preserve">RUA JOSÉ MENELEU, 531, ITAPERI, Fortaleza - CE, Brasil</t>
  </si>
  <si>
    <t xml:space="preserve">361</t>
  </si>
  <si>
    <t xml:space="preserve">ESCOLA MUNICIPAL PROFESSOR GERARDO MILTON DE SA</t>
  </si>
  <si>
    <t xml:space="preserve">RUA DOUTOR VALE COSTA, 668</t>
  </si>
  <si>
    <t xml:space="preserve">RUA DOUTOR VALE COSTA, 668, ANTÔNIO BEZERRA, Fortaleza - CE, Brasil</t>
  </si>
  <si>
    <t xml:space="preserve">836</t>
  </si>
  <si>
    <t xml:space="preserve">CEI AUDIFAX RIOS</t>
  </si>
  <si>
    <t xml:space="preserve">RUA CAPRICHO, S/N</t>
  </si>
  <si>
    <t xml:space="preserve">DIAS MACÊDO</t>
  </si>
  <si>
    <t xml:space="preserve">112,50 KVA</t>
  </si>
  <si>
    <t xml:space="preserve">RUA CAPRICHO, S/N, DIAS MACÊDO, Fortaleza - CE, Brasil</t>
  </si>
  <si>
    <t xml:space="preserve">303</t>
  </si>
  <si>
    <t xml:space="preserve">ESCOLA MUNICIPAL DE TEMPO INTEGRAL GUIOMAR DA SILVA ALMEIDA </t>
  </si>
  <si>
    <t xml:space="preserve">RUA PEROLINA DE MORAIS, 449</t>
  </si>
  <si>
    <t xml:space="preserve">RUA PEROLINA DE MORAIS, 449, PAUPINA, Fortaleza - CE, Brasil</t>
  </si>
  <si>
    <t xml:space="preserve">762</t>
  </si>
  <si>
    <t xml:space="preserve">ESCOLA MUNICIPAL MONTEIRO LOBATO - UND II</t>
  </si>
  <si>
    <t xml:space="preserve">RUA 65, 250</t>
  </si>
  <si>
    <t xml:space="preserve">RUA 65, 250, PREFEITO JOSÉ WALTER, Fortaleza - CE, Brasil</t>
  </si>
  <si>
    <t xml:space="preserve">347</t>
  </si>
  <si>
    <t xml:space="preserve">ESCOLA MUNICIPAL IMACULADA CONCEICAO</t>
  </si>
  <si>
    <t xml:space="preserve">RUA 01, 10 (CONJUNTO JARDIM CASTELÃO)</t>
  </si>
  <si>
    <t xml:space="preserve">RUA 01, 10 (CONJUNTO JARDIM CASTELÃO), PASSARÉ, Fortaleza - CE, Brasil</t>
  </si>
  <si>
    <t xml:space="preserve">172</t>
  </si>
  <si>
    <t xml:space="preserve">ESCOLA MUNICIPAL ZAIRA MONTEIRO GONDIM </t>
  </si>
  <si>
    <t xml:space="preserve">RUA PEDRO AGUIAR, 315</t>
  </si>
  <si>
    <t xml:space="preserve">RUA PEDRO AGUIAR, 315, ITAPERI, Fortaleza - CE, Brasil</t>
  </si>
  <si>
    <t xml:space="preserve">350</t>
  </si>
  <si>
    <t xml:space="preserve">ESCOLA MUNICIPAL SANTA TEREZINHA</t>
  </si>
  <si>
    <t xml:space="preserve">AV. NORTE SUL, 145</t>
  </si>
  <si>
    <t xml:space="preserve">AV. NORTE SUL, 145, PARQUE DOIS IRMÃOS, Fortaleza - CE, Brasil</t>
  </si>
  <si>
    <t xml:space="preserve">622</t>
  </si>
  <si>
    <t xml:space="preserve">CEI MARIA DE CARVALHO MARTINS -UND II</t>
  </si>
  <si>
    <t xml:space="preserve">RUA VI, S/N (CONJUNTO OITO DE SETEMBRO)</t>
  </si>
  <si>
    <t xml:space="preserve">RUA VI, S/N (CONJUNTO OITO DE SETEMBRO), SERRINHA, Fortaleza - CE, Brasil</t>
  </si>
  <si>
    <t xml:space="preserve">179</t>
  </si>
  <si>
    <t xml:space="preserve">ESCOLA MUNICIPAL FRANCISCO NUNES CAVALCANTE</t>
  </si>
  <si>
    <t xml:space="preserve">RUA POETA MÁRIO LINHARES, 561</t>
  </si>
  <si>
    <t xml:space="preserve">RUA POETA MÁRIO LINHARES, 561, PREFEITO JOSÉ WALTER, Fortaleza - CE, Brasil</t>
  </si>
  <si>
    <t xml:space="preserve">207</t>
  </si>
  <si>
    <t xml:space="preserve">ESCOLA MUNICIPAL MADRE TERESA DE CALCUTA</t>
  </si>
  <si>
    <t xml:space="preserve">RUA GUILHERME MOREIRA, 75</t>
  </si>
  <si>
    <t xml:space="preserve">RUA GUILHERME MOREIRA, 75, FÁTIMA, Fortaleza - CE, Brasil</t>
  </si>
  <si>
    <t xml:space="preserve">373</t>
  </si>
  <si>
    <t xml:space="preserve">CEI INFANTE ROSALINA RODRIGUES</t>
  </si>
  <si>
    <t xml:space="preserve">AV. 02, 800 (LOT. AV. DOS EXPEDICIONÁRIOS)</t>
  </si>
  <si>
    <t xml:space="preserve">AV. 02, 800 (LOT. AV. DOS EXPEDICIONÁRIOS), PARQUE DOIS IRMÃOS, Fortaleza - CE, Brasil</t>
  </si>
  <si>
    <t xml:space="preserve">279</t>
  </si>
  <si>
    <t xml:space="preserve">ESCOLA MUNICIPAL CLAUDIO MARTINS </t>
  </si>
  <si>
    <t xml:space="preserve">RUA BARÃO DE CANINDÉ, S/N</t>
  </si>
  <si>
    <t xml:space="preserve">ITAOCA</t>
  </si>
  <si>
    <t xml:space="preserve">RUA BARÃO DE CANINDÉ, S/N, ITAOCA, Fortaleza - CE, Brasil</t>
  </si>
  <si>
    <t xml:space="preserve">768</t>
  </si>
  <si>
    <t xml:space="preserve">ESCOLA MUNICIPAL DE TEMPO INTEGRAL PROFESSOR EDGAR LINHARES LIMA</t>
  </si>
  <si>
    <t xml:space="preserve">RUA SANTA RITA, S/N</t>
  </si>
  <si>
    <t xml:space="preserve">RUA SANTA RITA, S/N, PLANALTO AYRTON SENNA, Fortaleza - CE, Brasil</t>
  </si>
  <si>
    <t xml:space="preserve">937</t>
  </si>
  <si>
    <t xml:space="preserve">ESCOLA MUNICIPAL DE TEMPO INTEGRAL LEONEL DE MOURA BRIZOLA </t>
  </si>
  <si>
    <t xml:space="preserve">RUA CORONEL DE QUEIROZ, 671
RUA CORONEL DE QUEIROZ, 750</t>
  </si>
  <si>
    <t xml:space="preserve">RUA CORONEL DE QUEIROZ, 671
RUA CORONEL DE QUEIROZ, 750, PLANALTO AYRTON SENNA, Fortaleza - CE, Brasil</t>
  </si>
  <si>
    <t xml:space="preserve">1040</t>
  </si>
  <si>
    <t xml:space="preserve">ESCOLA MUNICIPAL PROFESSOR NOBERTO NOGUEIRA ALVES</t>
  </si>
  <si>
    <t xml:space="preserve">VIA ARTERIAL PROJETADA, 253 (RES. CIDADE JARDIM II)</t>
  </si>
  <si>
    <t xml:space="preserve">VIA ARTERIAL PROJETADA, 253 (RES. CIDADE JARDIM II), PREFEITO JOSÉ WALTER, Fortaleza - CE, Brasil</t>
  </si>
  <si>
    <t xml:space="preserve">1112</t>
  </si>
  <si>
    <t xml:space="preserve">ESCOLA MUNICIPAL DE TEMPO INTEGRAL REITOR ROBERTO CLAUDIO </t>
  </si>
  <si>
    <t xml:space="preserve">AV. I, S/N (LOT. AV. DOS EXPEDICIONÁRIOS)</t>
  </si>
  <si>
    <t xml:space="preserve">AV. I, S/N (LOT. AV. DOS EXPEDICIONÁRIOS), PARQUE DOIS IRMÃOS, Fortaleza - CE, Brasil</t>
  </si>
  <si>
    <t xml:space="preserve">1171</t>
  </si>
  <si>
    <t xml:space="preserve">ESCOLA MUNICIPAL EPITACIO PAULA DE SOUSA</t>
  </si>
  <si>
    <t xml:space="preserve">RUA D, S/N (LOTEAMENTO PARQUE MONTENEGRO II)</t>
  </si>
  <si>
    <t xml:space="preserve">RUA D, S/N (LOTEAMENTO PARQUE MONTENEGRO II), PREFEITO JOSÉ WALTER, Fortaleza - CE, Brasil</t>
  </si>
  <si>
    <t xml:space="preserve">261</t>
  </si>
  <si>
    <t xml:space="preserve">ESCOLA MUNICIPAL PROFESSORA VANIA MARIA NEVES FACO BARROS </t>
  </si>
  <si>
    <t xml:space="preserve">AV. AGUANAMBI, 2479</t>
  </si>
  <si>
    <t xml:space="preserve">AV. AGUANAMBI, 2479, AEROPORTO, Fortaleza - CE, Brasil</t>
  </si>
  <si>
    <t xml:space="preserve">245</t>
  </si>
  <si>
    <t xml:space="preserve">ESCOLA MUNICIPAL VICENTE FIALHO</t>
  </si>
  <si>
    <t xml:space="preserve">270</t>
  </si>
  <si>
    <t xml:space="preserve">ESCOLA MUNICIPAL HAROLDO JORGE BRAUN VIEIRA</t>
  </si>
  <si>
    <t xml:space="preserve">AV. LAURO VIEIRA CHAVES, 55</t>
  </si>
  <si>
    <t xml:space="preserve">AV. LAURO VIEIRA CHAVES, 55, AEROPORTO, Fortaleza - CE, Brasil</t>
  </si>
  <si>
    <t xml:space="preserve">294</t>
  </si>
  <si>
    <t xml:space="preserve">ESCOLA MUNICIPAL PADRE FELICE PISTONE</t>
  </si>
  <si>
    <t xml:space="preserve">RUA JÚLIO CÉSAR, 1810</t>
  </si>
  <si>
    <t xml:space="preserve">DAMAS</t>
  </si>
  <si>
    <t xml:space="preserve">RUA JÚLIO CÉSAR, 1810, DAMAS, Fortaleza - CE, Brasil</t>
  </si>
  <si>
    <t xml:space="preserve">229</t>
  </si>
  <si>
    <t xml:space="preserve">ESCOLA MUNICIPAL ALAIDE AUGUSTO DE OLIVEIRA</t>
  </si>
  <si>
    <t xml:space="preserve">RUA SETEMBRINA, 525</t>
  </si>
  <si>
    <t xml:space="preserve">RUA SETEMBRINA, 525, CONJUNTO ESPERANÇA, Fortaleza - CE, Brasil</t>
  </si>
  <si>
    <t xml:space="preserve">218</t>
  </si>
  <si>
    <t xml:space="preserve">ESCOLA MUNICIPAL SANTA ISABEL </t>
  </si>
  <si>
    <t xml:space="preserve">AV. OSCAR ARARIPE, 741</t>
  </si>
  <si>
    <t xml:space="preserve">AV. OSCAR ARARIPE, 741, BOM JARDIM, Fortaleza - CE, Brasil</t>
  </si>
  <si>
    <t xml:space="preserve">337</t>
  </si>
  <si>
    <t xml:space="preserve">ESCOLA MUNICIPAL JONATHAN DA ROCHA ALCOFORADO</t>
  </si>
  <si>
    <t xml:space="preserve">RUA MARIA GOMES DE SÁ, 1030</t>
  </si>
  <si>
    <t xml:space="preserve">RUA MARIA GOMES DE SÁ, 1030, MONDUBIM, Fortaleza - CE, Brasil</t>
  </si>
  <si>
    <t xml:space="preserve">83</t>
  </si>
  <si>
    <t xml:space="preserve">ESCOLA MUNICIPAL PROFESSOR OSMIRIO DE OLIVEIRA BARRETO</t>
  </si>
  <si>
    <t xml:space="preserve">RUA 10, S/N (CONJUNTO SÍTIO CORREGO)</t>
  </si>
  <si>
    <t xml:space="preserve">A.S.4109-26</t>
  </si>
  <si>
    <t xml:space="preserve">RUA 10, S/N (CONJUNTO SÍTIO CORREGO), MONDUBIM, Fortaleza - CE, Brasil</t>
  </si>
  <si>
    <t xml:space="preserve">112</t>
  </si>
  <si>
    <t xml:space="preserve">ESCOLA MUNICIPAL DE TEMPO INTEGRAL MARIA DO SOCORRO ALVES CARNEIRO </t>
  </si>
  <si>
    <t xml:space="preserve">AV. LUIZ VIEIRA, 1020</t>
  </si>
  <si>
    <t xml:space="preserve">R$ 63.676,61</t>
  </si>
  <si>
    <t xml:space="preserve">A.S. Nº 3856/25</t>
  </si>
  <si>
    <t xml:space="preserve">A.S. Nº 3852/25</t>
  </si>
  <si>
    <t xml:space="preserve">AV. LUIZ VIEIRA, 1020, BONSUCESSO, Fortaleza - CE, Brasil</t>
  </si>
  <si>
    <t xml:space="preserve">148</t>
  </si>
  <si>
    <t xml:space="preserve">ESCOLA MUNICIPAL DE TEMPO INTEGRAL FILGUEIRAS LIMA</t>
  </si>
  <si>
    <t xml:space="preserve">AV. DOS EXPEDICIONÁRIOS, 3910</t>
  </si>
  <si>
    <t xml:space="preserve">R$ 53.667,62</t>
  </si>
  <si>
    <t xml:space="preserve">A.S. Nº 3546/25</t>
  </si>
  <si>
    <t xml:space="preserve">A.S. Nº 3583/25</t>
  </si>
  <si>
    <t xml:space="preserve">AV. DOS EXPEDICIONÁRIOS, 3910, JARDIM AMÉRICA, Fortaleza - CE, Brasil</t>
  </si>
  <si>
    <t xml:space="preserve">353</t>
  </si>
  <si>
    <t xml:space="preserve">ESCOLA MUNICIPAL CASIMIRO JOSE DE LIMA FILHO</t>
  </si>
  <si>
    <t xml:space="preserve">769</t>
  </si>
  <si>
    <t xml:space="preserve">ESCOLA MUNICIPAL DE TEMPO INTEGRAL PROFESSORA MARIA JOSE FERREIRA GOMES </t>
  </si>
  <si>
    <t xml:space="preserve">RUA CÔNEGO DE CASTRO, 8617</t>
  </si>
  <si>
    <t xml:space="preserve">RUA CÔNEGO DE CASTRO, 8617, PARQUE PRESIDENTE VARGAS, Fortaleza - CE, Brasil</t>
  </si>
  <si>
    <t xml:space="preserve">99</t>
  </si>
  <si>
    <t xml:space="preserve">ESCOLA MUNICIPAL SECRETARIO PAULO PETROLA</t>
  </si>
  <si>
    <t xml:space="preserve">RUA MONSENHOR CARNEIRO DA CUNHA, 415</t>
  </si>
  <si>
    <t xml:space="preserve">RUA MONSENHOR CARNEIRO DA CUNHA, 415, JACARECANGA, Fortaleza - CE, Brasil</t>
  </si>
  <si>
    <t xml:space="preserve">119</t>
  </si>
  <si>
    <t xml:space="preserve">CEI PROFESSORA OLINDINA CARVALHO DE MORAIS</t>
  </si>
  <si>
    <t xml:space="preserve">RUA 05, 581 (CONJUNTO JOÃO PAULO II)</t>
  </si>
  <si>
    <t xml:space="preserve">RUA 05, 581 (CONJUNTO JOÃO PAULO II), BARROSO, Fortaleza - CE, Brasil</t>
  </si>
  <si>
    <t xml:space="preserve">130</t>
  </si>
  <si>
    <t xml:space="preserve">ESCOLA MUNICIPAL JESUS CRISTO</t>
  </si>
  <si>
    <t xml:space="preserve">RUA ALBERTO FERREIRA, 564</t>
  </si>
  <si>
    <t xml:space="preserve">RUA ALBERTO FERREIRA, 564, JARDIM IRACEMA, Fortaleza - CE, Brasil</t>
  </si>
  <si>
    <t xml:space="preserve">242</t>
  </si>
  <si>
    <t xml:space="preserve">ESCOLA MUNICIPAL CATULO DA PAIXAO CEARENSE</t>
  </si>
  <si>
    <t xml:space="preserve">RUA LEÃO DO NORTE, 300</t>
  </si>
  <si>
    <t xml:space="preserve">R$ 23.517,41</t>
  </si>
  <si>
    <t xml:space="preserve">A.S. Nº 3838/25</t>
  </si>
  <si>
    <t xml:space="preserve">A.S. Nº 3771/25</t>
  </si>
  <si>
    <t xml:space="preserve">RUA LEÃO DO NORTE, 300, VILA PERI, Fortaleza - CE, Brasil</t>
  </si>
  <si>
    <t xml:space="preserve">301</t>
  </si>
  <si>
    <t xml:space="preserve">ESCOLA MUNICIPAL PROFESSORA MARIA GONDIM DOS SANTOS</t>
  </si>
  <si>
    <t xml:space="preserve">TRAV. GUARANI, 620</t>
  </si>
  <si>
    <t xml:space="preserve">R$ 13.786,21</t>
  </si>
  <si>
    <t xml:space="preserve">A.S. Nº 3766/25</t>
  </si>
  <si>
    <t xml:space="preserve">A.S. Nº 3762/25</t>
  </si>
  <si>
    <t xml:space="preserve">TRAV. GUARANI, 620, PAPICU, Fortaleza - CE, Brasil</t>
  </si>
  <si>
    <t xml:space="preserve">356</t>
  </si>
  <si>
    <t xml:space="preserve">ESCOLA MUNICIPAL DE TEMPO INTEGRAL PROFESSORA ANTONIETA CALS</t>
  </si>
  <si>
    <t xml:space="preserve">RUA MONSENHOR SALAZAR, 1480</t>
  </si>
  <si>
    <t xml:space="preserve">R$ 62.592,66</t>
  </si>
  <si>
    <t xml:space="preserve">A.S. Nº 3768/25</t>
  </si>
  <si>
    <t xml:space="preserve">A.S. Nº 3763/25</t>
  </si>
  <si>
    <t xml:space="preserve">RUA MONSENHOR SALAZAR, 1480, TAUAPE, Fortaleza - CE, Brasil</t>
  </si>
  <si>
    <t xml:space="preserve">797</t>
  </si>
  <si>
    <t xml:space="preserve">ESCOLA MUNICIPAL DE TEMPO INTEGRAL PROFESSOR ALEXANDRE RODRIGUES DE ALBUQUERQUE </t>
  </si>
  <si>
    <t xml:space="preserve">RUA ALVES BEZERRA, 743</t>
  </si>
  <si>
    <t xml:space="preserve">RUA ALVES BEZERRA, 743, SIQUEIRA, Fortaleza - CE, Brasil</t>
  </si>
  <si>
    <t xml:space="preserve">871</t>
  </si>
  <si>
    <t xml:space="preserve">ESCOLA MUNICIPAL DE TEMPO INTEGRAL PROFESSORA HILDETE BRASIL DE SÁ CAVALCANTE </t>
  </si>
  <si>
    <t xml:space="preserve">RUA E, S/N (RES. MARCOS FREIRE)</t>
  </si>
  <si>
    <t xml:space="preserve">RUA E, S/N (RES. MARCOS FREIRE), MONDUBIM, Fortaleza - CE, Brasil</t>
  </si>
  <si>
    <t xml:space="preserve">154</t>
  </si>
  <si>
    <t xml:space="preserve">ESCOLA MUNICIPAL QUINTINO CUNHA </t>
  </si>
  <si>
    <t xml:space="preserve">RUA MARIA CLARA, 1263</t>
  </si>
  <si>
    <t xml:space="preserve">RUA MARIA CLARA, 1263, JARDIM GUANABARA, Fortaleza - CE, Brasil</t>
  </si>
  <si>
    <t xml:space="preserve">178</t>
  </si>
  <si>
    <t xml:space="preserve">ESCOLA MUNICIPAL ARI DE SA CAVALCANTE</t>
  </si>
  <si>
    <t xml:space="preserve">AV. H, 430</t>
  </si>
  <si>
    <t xml:space="preserve">AV. H, 430, PREFEITO JOSÉ WALTER, Fortaleza - CE, Brasil</t>
  </si>
  <si>
    <t xml:space="preserve">209</t>
  </si>
  <si>
    <t xml:space="preserve">ESCOLA MUNICIPAL VIRGILIO TAVORA</t>
  </si>
  <si>
    <t xml:space="preserve">233</t>
  </si>
  <si>
    <t xml:space="preserve">ESCOLA MUNICIPAL ALDEIDES REGIS</t>
  </si>
  <si>
    <t xml:space="preserve">RUA IRINEU DE SOUSA, 183</t>
  </si>
  <si>
    <t xml:space="preserve">RUA IRINEU DE SOUSA, 183, ÁLVARO WEYNE, Fortaleza - CE, Brasil</t>
  </si>
  <si>
    <t xml:space="preserve">195</t>
  </si>
  <si>
    <t xml:space="preserve">ESCOLA MUNICIPAL PROFESSORA MARIA JOSE MACARIO COELHO </t>
  </si>
  <si>
    <t xml:space="preserve">RUA BANABUIÚ, 530</t>
  </si>
  <si>
    <t xml:space="preserve">R$ 33.011,81</t>
  </si>
  <si>
    <t xml:space="preserve">A.S. Nº 3767/25</t>
  </si>
  <si>
    <t xml:space="preserve">A.S. Nº 3764/25</t>
  </si>
  <si>
    <t xml:space="preserve">RUA BANABUIÚ, 530, PARQUE DOIS IRMÃOS, Fortaleza - CE, Brasil</t>
  </si>
  <si>
    <t xml:space="preserve">248</t>
  </si>
  <si>
    <t xml:space="preserve">ESCOLA MUNICIPAL PROFESSOR JOSE MILITAO DE ALBUQUERQUE </t>
  </si>
  <si>
    <t xml:space="preserve">RUA 1145, 14</t>
  </si>
  <si>
    <t xml:space="preserve">RUA 1145, 14, CONJUNTO CEARÁ I, Fortaleza - CE, Brasil</t>
  </si>
  <si>
    <t xml:space="preserve">250</t>
  </si>
  <si>
    <t xml:space="preserve">ESCOLA MUNICIPAL YOLANDA QUEIROZ</t>
  </si>
  <si>
    <t xml:space="preserve">RUA CAPITÃO ARAGÃO, 864</t>
  </si>
  <si>
    <t xml:space="preserve">RUA CAPITÃO ARAGÃO, 864, ALTO DA BALANÇA, Fortaleza - CE, Brasil</t>
  </si>
  <si>
    <t xml:space="preserve">944</t>
  </si>
  <si>
    <t xml:space="preserve">ESCOLA MUNICIPAL DE TEMPO INTEGRAL PROFESSOR EXPEDITO PARENTE </t>
  </si>
  <si>
    <t xml:space="preserve">110</t>
  </si>
  <si>
    <t xml:space="preserve">ESCOLA MUNICIPAL GENERAL MANOEL CORDEIRO NETO</t>
  </si>
  <si>
    <t xml:space="preserve">RUA JORGE ACÚRCIO, 900</t>
  </si>
  <si>
    <t xml:space="preserve">R$ 32.611,42</t>
  </si>
  <si>
    <t xml:space="preserve">A.S. Nº 3799/25</t>
  </si>
  <si>
    <t xml:space="preserve">A.S. Nº 3795/25</t>
  </si>
  <si>
    <t xml:space="preserve">RUA JORGE ACÚRCIO, 900, VILA UNIÃO, Fortaleza - CE, Brasil</t>
  </si>
  <si>
    <t xml:space="preserve">263</t>
  </si>
  <si>
    <t xml:space="preserve">ESCOLA MUNICIPAL ALVORADA</t>
  </si>
  <si>
    <t xml:space="preserve">RUA ANGRA DOS REIS, 234</t>
  </si>
  <si>
    <t xml:space="preserve">RUA ANGRA DOS REIS, 234, SAPIRANGA/COITÉ, Fortaleza - CE, Brasil</t>
  </si>
  <si>
    <t xml:space="preserve">272</t>
  </si>
  <si>
    <t xml:space="preserve">ESCOLA MUNICIPAL JOAO NUNES PINHEIRO</t>
  </si>
  <si>
    <t xml:space="preserve">AV. F, 550</t>
  </si>
  <si>
    <t xml:space="preserve">AV. F, 550, CONJUNTO CEARÁ I, Fortaleza - CE, Brasil</t>
  </si>
  <si>
    <t xml:space="preserve">1014</t>
  </si>
  <si>
    <t xml:space="preserve">ESCOLA MUNICIPAL DE TEMPO INTEGRAL PROFESSOR AGERSON TABOSA FILHO</t>
  </si>
  <si>
    <t xml:space="preserve">RUA WILCA ALBUQUERQUE, 90</t>
  </si>
  <si>
    <t xml:space="preserve">RUA WILCA ALBUQUERQUE, 90, SIQUEIRA, Fortaleza - CE, Brasil</t>
  </si>
  <si>
    <t xml:space="preserve">288</t>
  </si>
  <si>
    <t xml:space="preserve">ESCOLA MUNICIPAL SAO RAIMUNDO</t>
  </si>
  <si>
    <t xml:space="preserve">RUA ALEXANDRÉ BARAÚNA, 1450</t>
  </si>
  <si>
    <t xml:space="preserve">RUA ALEXANDRÉ BARAÚNA, 1450, RODOLFO TEÓFILO, Fortaleza - CE, Brasil</t>
  </si>
  <si>
    <t xml:space="preserve">95</t>
  </si>
  <si>
    <t xml:space="preserve">ESCOLA MUNICIPAL JOSE ALCIDES PINTO </t>
  </si>
  <si>
    <t xml:space="preserve">RUA GUARANI, 2000</t>
  </si>
  <si>
    <t xml:space="preserve">R$ 23.672,35</t>
  </si>
  <si>
    <t xml:space="preserve">A.S. Nº 3818/25</t>
  </si>
  <si>
    <t xml:space="preserve">A.S. Nº 3814/25</t>
  </si>
  <si>
    <t xml:space="preserve">RUA GUARANI, 2000, BONSUCESSO, Fortaleza - CE, Brasil</t>
  </si>
  <si>
    <t xml:space="preserve">194</t>
  </si>
  <si>
    <t xml:space="preserve">ESCOLA MUNICIPAL INFANTE ROSALINA RODRIGUES</t>
  </si>
  <si>
    <t xml:space="preserve">AV. 02, 700 (LOT. AV. DOS EXPEDICIONÁRIOS)</t>
  </si>
  <si>
    <t xml:space="preserve">R$ 65.150,30</t>
  </si>
  <si>
    <t xml:space="preserve">A.S. Nº 3544/25</t>
  </si>
  <si>
    <t xml:space="preserve">A.S. Nº 3773/25</t>
  </si>
  <si>
    <t xml:space="preserve">AV. 02, 700 (LOT. AV. DOS EXPEDICIONÁRIOS), PARQUE DOIS IRMÃOS, Fortaleza - CE, Brasil</t>
  </si>
  <si>
    <t xml:space="preserve">317</t>
  </si>
  <si>
    <t xml:space="preserve">ESCOLA MUNICIPAL JOAO NOGUEIRA JUCA</t>
  </si>
  <si>
    <t xml:space="preserve">RUA B, 10 (LOTEAMENTO ESPLANADA MESSEJANA)</t>
  </si>
  <si>
    <t xml:space="preserve">COAÇU</t>
  </si>
  <si>
    <t xml:space="preserve">RUA B, 10 (LOTEAMENTO ESPLANADA MESSEJANA), COAÇU, Fortaleza - CE, Brasil</t>
  </si>
  <si>
    <t xml:space="preserve">1113</t>
  </si>
  <si>
    <t xml:space="preserve">ESCOLA MUNICIPAL DE TEMPO INTEGRAL PASTOR FLORENCIO NUNES NETO</t>
  </si>
  <si>
    <t xml:space="preserve">RUA OSÓRIO CORREIA, 95</t>
  </si>
  <si>
    <t xml:space="preserve">RUA OSÓRIO CORREIA, 95, PARQUE PRESIDENTE VARGAS, Fortaleza - CE, Brasil</t>
  </si>
  <si>
    <t xml:space="preserve">146</t>
  </si>
  <si>
    <t xml:space="preserve">ESCOLA MUNICIPAL ULYSSES GUIMARAES</t>
  </si>
  <si>
    <t xml:space="preserve">RUA TENENTE FRANCISCO PAIVA, 1350</t>
  </si>
  <si>
    <t xml:space="preserve">RAPHAEL</t>
  </si>
  <si>
    <t xml:space="preserve">R$ 18.768,79</t>
  </si>
  <si>
    <t xml:space="preserve">A.S. Nº 3736/25</t>
  </si>
  <si>
    <t xml:space="preserve">RUA TENENTE FRANCISCO PAIVA, 1350, GRANJA LISBOA, Fortaleza - CE, Brasil</t>
  </si>
  <si>
    <t xml:space="preserve">1115</t>
  </si>
  <si>
    <t xml:space="preserve">ESCOLA MUNICIPAL DE TEMPO INTEGRAL LUIZ TEIXEIRA MATOS</t>
  </si>
  <si>
    <t xml:space="preserve">RUA RENATO MAGALHÃES, S/N</t>
  </si>
  <si>
    <t xml:space="preserve">RUA RENATO MAGALHÃES, S/N, MONDUBIM, Fortaleza - CE, Brasil</t>
  </si>
  <si>
    <t xml:space="preserve">365</t>
  </si>
  <si>
    <t xml:space="preserve">ESCOLA MUNICIPAL DEMOCRITO ROCHA </t>
  </si>
  <si>
    <t xml:space="preserve">RUA PADRE PEDRO DE ALENCAR, 2012</t>
  </si>
  <si>
    <t xml:space="preserve">R$ 69.034,02</t>
  </si>
  <si>
    <t xml:space="preserve">A.S. Nº 3833/25</t>
  </si>
  <si>
    <t xml:space="preserve">A.S. Nº 3819/25</t>
  </si>
  <si>
    <t xml:space="preserve">RUA PADRE PEDRO DE ALENCAR, 2012, PARQUE SANTA MARIA, Fortaleza - CE, Brasil</t>
  </si>
  <si>
    <t xml:space="preserve">360</t>
  </si>
  <si>
    <t xml:space="preserve">ESCOLA MUNICIPAL SAO VICENTE DE PAULO</t>
  </si>
  <si>
    <t xml:space="preserve">AV.ZEZÉ DIOGO, 1247</t>
  </si>
  <si>
    <t xml:space="preserve">AV.ZEZÉ DIOGO, 1247, CAIS DO PORTO, Fortaleza - CE, Brasil</t>
  </si>
  <si>
    <t xml:space="preserve">334</t>
  </si>
  <si>
    <t xml:space="preserve">ESCOLA MUNICIPAL HERONDINA LIMA CAVALCANTE </t>
  </si>
  <si>
    <t xml:space="preserve">AV. AMBIENTALISTA ARY THERS, 310</t>
  </si>
  <si>
    <t xml:space="preserve">R$ 106.392,75</t>
  </si>
  <si>
    <t xml:space="preserve">A.S. Nº 3765/25</t>
  </si>
  <si>
    <t xml:space="preserve">A.S. Nº 3757/25</t>
  </si>
  <si>
    <t xml:space="preserve">AV. AMBIENTALISTA ARY THERS, 310, VILA VELHA, Fortaleza - CE, Brasil</t>
  </si>
  <si>
    <t xml:space="preserve">429</t>
  </si>
  <si>
    <t xml:space="preserve">CEI JESUS CRISTO</t>
  </si>
  <si>
    <t xml:space="preserve">469</t>
  </si>
  <si>
    <t xml:space="preserve">ESCOLA MUNICIPAL LIONS CLUBE FORTALEZA FATIMA </t>
  </si>
  <si>
    <t xml:space="preserve">TV. LIONS CLUBE, 141</t>
  </si>
  <si>
    <t xml:space="preserve">TV. LIONS CLUBE, 141, JANGURUSSU, Fortaleza - CE, Brasil</t>
  </si>
  <si>
    <t xml:space="preserve">482</t>
  </si>
  <si>
    <t xml:space="preserve">CEI MARIA ROSELI LIMA MESQUITA</t>
  </si>
  <si>
    <t xml:space="preserve">RUA LUIZ GUIMARÃES, 261</t>
  </si>
  <si>
    <t xml:space="preserve">RUA LUIZ GUIMARÃES, 261, FLORESTA, Fortaleza - CE, Brasil</t>
  </si>
  <si>
    <t xml:space="preserve">1119</t>
  </si>
  <si>
    <t xml:space="preserve">ESCOLA MUNICIPAL DE TEMPO INTEGRAL PROFESSORA MARIA MIRTES BASTOS MANGUEIRA</t>
  </si>
  <si>
    <t xml:space="preserve">RUA XAVIER DA SILVEIRA, S/N</t>
  </si>
  <si>
    <t xml:space="preserve">RUA XAVIER DA SILVEIRA, S/N, GRANJA LISBOA, Fortaleza - CE, Brasil</t>
  </si>
  <si>
    <t xml:space="preserve">113</t>
  </si>
  <si>
    <t xml:space="preserve">ESCOLA MUNICIPAL PROFESSORA MARIA ODNILRA CRUZ MOREIRA</t>
  </si>
  <si>
    <t xml:space="preserve">AV. DAS ADENANTERAS, 800</t>
  </si>
  <si>
    <t xml:space="preserve">R$ 58.719,38</t>
  </si>
  <si>
    <t xml:space="preserve">A.S. Nº 3548-25</t>
  </si>
  <si>
    <t xml:space="preserve">A.S. Nº 3815/25</t>
  </si>
  <si>
    <t xml:space="preserve">AV. DAS ADENANTERAS, 800, MANUEL DIAS BRANCO, Fortaleza - CE, Brasil</t>
  </si>
  <si>
    <t xml:space="preserve">293</t>
  </si>
  <si>
    <t xml:space="preserve">ESCOLA MUNICIPAL 15 DE OUTUBRO</t>
  </si>
  <si>
    <t xml:space="preserve">RUA GUARANI, 2030</t>
  </si>
  <si>
    <t xml:space="preserve">R$ 76.679,13</t>
  </si>
  <si>
    <t xml:space="preserve">A.S. Nº 3797/25</t>
  </si>
  <si>
    <t xml:space="preserve">A.S. Nº 3787/25</t>
  </si>
  <si>
    <t xml:space="preserve">RUA GUARANI, 2030, BONSUCESSO, Fortaleza - CE, Brasil</t>
  </si>
  <si>
    <t xml:space="preserve">88</t>
  </si>
  <si>
    <t xml:space="preserve">ESCOLA MUNICIPAL MONTEIRO LOBATO</t>
  </si>
  <si>
    <t xml:space="preserve">RUA 83, 181</t>
  </si>
  <si>
    <t xml:space="preserve">RUA 83, 181, PREFEITO JOSÉ WALTER, Fortaleza - CE, Brasil</t>
  </si>
  <si>
    <t xml:space="preserve">204</t>
  </si>
  <si>
    <t xml:space="preserve">ESCOLA MUNICIPAL MARIA VIVIANE BENEVIDES GOUVEIA</t>
  </si>
  <si>
    <t xml:space="preserve">RUA CREUZA ROQUE, 247</t>
  </si>
  <si>
    <t xml:space="preserve">MANOEL SÁTIRO</t>
  </si>
  <si>
    <t xml:space="preserve">RUA CREUZA ROQUE, 247, MANOEL SÁTIRO, Fortaleza - CE, Brasil</t>
  </si>
  <si>
    <t xml:space="preserve">227</t>
  </si>
  <si>
    <t xml:space="preserve">ESCOLA MUNICIPAL JOSE AYRTON TEIXEIRA</t>
  </si>
  <si>
    <t xml:space="preserve">RUA ALFREDO MAMEDE, S/N</t>
  </si>
  <si>
    <t xml:space="preserve">RUA ALFREDO MAMEDE, S/N, NOVO MONDUBIM, Fortaleza - CE, Brasil</t>
  </si>
  <si>
    <t xml:space="preserve">277</t>
  </si>
  <si>
    <t xml:space="preserve">ESCOLA MUNICIPAL ABDENAGO DA ROCHA LIMA</t>
  </si>
  <si>
    <t xml:space="preserve">RUA 114, 75 (CONJUNTO TUPÃ MIRIM)</t>
  </si>
  <si>
    <t xml:space="preserve">RUA 114, 75 (CONJUNTO TUPÃ MIRIM), PARQUE DOIS IRMÃOS, Fortaleza - CE, Brasil</t>
  </si>
  <si>
    <t xml:space="preserve">446</t>
  </si>
  <si>
    <t xml:space="preserve">CEI JOAO SARAIVA LEAO</t>
  </si>
  <si>
    <t xml:space="preserve">RUA ANTÔNIO CANDEIA, 89</t>
  </si>
  <si>
    <t xml:space="preserve">RUA ANTÔNIO CANDEIA, 89, GUAJERU, Fortaleza - CE, Brasil</t>
  </si>
  <si>
    <t xml:space="preserve">221</t>
  </si>
  <si>
    <t xml:space="preserve">ESCOLA MUNICIPAL PROFESSORA RAIMUNDA FELIX DE ALCANTARA </t>
  </si>
  <si>
    <t xml:space="preserve">AV. MEM DE SÁ, 384</t>
  </si>
  <si>
    <t xml:space="preserve">AV. MEM DE SÁ, 384, MESSEJANA, Fortaleza - CE, Brasil</t>
  </si>
  <si>
    <t xml:space="preserve">219</t>
  </si>
  <si>
    <t xml:space="preserve">ESCOLA MUNICIPAL DE TEMPO INTEGRAL PARQUE SAO MIGUEL</t>
  </si>
  <si>
    <t xml:space="preserve">RUA LOURDES VIDAL ALVES, 444</t>
  </si>
  <si>
    <t xml:space="preserve">RUA LOURDES VIDAL ALVES, 444, LAGOA REDONDA, Fortaleza - CE, Brasil</t>
  </si>
  <si>
    <t xml:space="preserve">358</t>
  </si>
  <si>
    <t xml:space="preserve">ESCOLA MUNICIPAL PROFESSORA IRENE DE SOUZA PEREIRA </t>
  </si>
  <si>
    <t xml:space="preserve">RUA F, S/N (LOT. EDITH BARREIRA BRAGA)</t>
  </si>
  <si>
    <t xml:space="preserve">RUA F, S/N (LOT. EDITH BARREIRA BRAGA), PLANALTO AYRTON SENNA, Fortaleza - CE, Brasil</t>
  </si>
  <si>
    <t xml:space="preserve">139</t>
  </si>
  <si>
    <t xml:space="preserve">ESCOLA MUNICIPAL DE TEMPO INTEGRAL NOSSA SENHORA DE FATIMA </t>
  </si>
  <si>
    <t xml:space="preserve">RUA SILVIO ROMERO, 370</t>
  </si>
  <si>
    <t xml:space="preserve">RUA SILVIO ROMERO, 370, FLORESTA, Fortaleza - CE, Brasil</t>
  </si>
  <si>
    <t xml:space="preserve">150</t>
  </si>
  <si>
    <t xml:space="preserve">ESCOLA MUNICIPAL DE TEMPO INTEGRAL DIOGO VITAL DE SIQUEIRA </t>
  </si>
  <si>
    <t xml:space="preserve">AV. L, S/N</t>
  </si>
  <si>
    <t xml:space="preserve">AV. L, S/N, PREFEITO JOSÉ WALTER, Fortaleza - CE, Brasil</t>
  </si>
  <si>
    <t xml:space="preserve">161</t>
  </si>
  <si>
    <t xml:space="preserve">ESCOLA MUNICIPAL PROFESSORA ANTONIA MARIA DE LIMA</t>
  </si>
  <si>
    <t xml:space="preserve">RUA SARGENTO JOÃO PINHEIRO, 2601</t>
  </si>
  <si>
    <t xml:space="preserve">RUA SARGENTO JOÃO PINHEIRO, 2601, GRANJA LISBOA, Fortaleza - CE, Brasil</t>
  </si>
  <si>
    <t xml:space="preserve">311</t>
  </si>
  <si>
    <t xml:space="preserve">ESCOLA MUNICIPAL ANTONIO MENDES </t>
  </si>
  <si>
    <t xml:space="preserve">RUA DONA MENDINHA, 682</t>
  </si>
  <si>
    <t xml:space="preserve">RUA DONA MENDINHA, 682, CRISTO REDENTOR, Fortaleza - CE, Brasil</t>
  </si>
  <si>
    <t xml:space="preserve">259</t>
  </si>
  <si>
    <t xml:space="preserve">ESCOLA MUNICIPAL ADALBERTO STUDART FILHO</t>
  </si>
  <si>
    <t xml:space="preserve">RUA DO CAMPO, 25</t>
  </si>
  <si>
    <t xml:space="preserve">RUA DO CAMPO, 25, PLANALTO AYRTON SENNA, Fortaleza - CE, Brasil</t>
  </si>
  <si>
    <t xml:space="preserve">144</t>
  </si>
  <si>
    <t xml:space="preserve">ESCOLA MUNICIPAL DE TEMPO INTEGRAL FRANCISCA FERNANDES MAGALHAES</t>
  </si>
  <si>
    <t xml:space="preserve">RUA VITAL BRASIL, 1020</t>
  </si>
  <si>
    <t xml:space="preserve">RUA VITAL BRASIL, 1020, BONSUCESSO, Fortaleza - CE, Brasil</t>
  </si>
  <si>
    <t xml:space="preserve">232</t>
  </si>
  <si>
    <t xml:space="preserve">ESCOLA MUNICIPAL AGOSTINHO MOREIRA E SILVA</t>
  </si>
  <si>
    <t xml:space="preserve">228</t>
  </si>
  <si>
    <t xml:space="preserve">ESCOLA MUNICIPAL DOUTOR SERVULO MENDES BARROSO </t>
  </si>
  <si>
    <t xml:space="preserve">RUA JOSÉ MARTINS, 2159</t>
  </si>
  <si>
    <t xml:space="preserve">RUA JOSÉ MARTINS, 2159, GRANJA LISBOA, Fortaleza - CE, Brasil</t>
  </si>
  <si>
    <t xml:space="preserve">283</t>
  </si>
  <si>
    <t xml:space="preserve">ESCOLA MUNICIPAL JOAO PAULO I</t>
  </si>
  <si>
    <t xml:space="preserve">RUA LUÍS DE CASTRO, 254</t>
  </si>
  <si>
    <t xml:space="preserve">RUA LUÍS DE CASTRO, 254, BONSUCESSO, Fortaleza - CE, Brasil</t>
  </si>
  <si>
    <t xml:space="preserve">284</t>
  </si>
  <si>
    <t xml:space="preserve">ESCOLA MUNICIPAL JADER DE FIGUEIREDO CORREIA</t>
  </si>
  <si>
    <t xml:space="preserve">RUA TOCANDIRA, 61</t>
  </si>
  <si>
    <t xml:space="preserve">RUA TOCANDIRA, 61, BARRA DO CEARÁ, Fortaleza - CE, Brasil</t>
  </si>
  <si>
    <t xml:space="preserve">310</t>
  </si>
  <si>
    <t xml:space="preserve">ESCOLA MUNICIPAL DOM ANTONIO BATISTA DE FRAGOSO </t>
  </si>
  <si>
    <t xml:space="preserve">AV. FRANCISCO SÁ, 7945</t>
  </si>
  <si>
    <t xml:space="preserve">AV. FRANCISCO SÁ, 7945, BARRA DO CEARÁ, Fortaleza - CE, Brasil</t>
  </si>
  <si>
    <t xml:space="preserve">321</t>
  </si>
  <si>
    <t xml:space="preserve">ESCOLA MUNICIPAL IRMA SIMAS </t>
  </si>
  <si>
    <t xml:space="preserve">RUA JOÃO MARIANO, 608</t>
  </si>
  <si>
    <t xml:space="preserve">RUA JOÃO MARIANO, 608, SAPIRANGA/COITÉ, Fortaleza - CE, Brasil</t>
  </si>
  <si>
    <t xml:space="preserve">333</t>
  </si>
  <si>
    <t xml:space="preserve">ESCOLA MUNICIPAL DOM HELDER CAMARA</t>
  </si>
  <si>
    <t xml:space="preserve">RUA FREI ODILON, 623B</t>
  </si>
  <si>
    <t xml:space="preserve">RUA FREI ODILON, 623B, FLORESTA, Fortaleza - CE, Brasil</t>
  </si>
  <si>
    <t xml:space="preserve">364</t>
  </si>
  <si>
    <t xml:space="preserve">ESCOLA MUNICIPAL NOVO RENASCER</t>
  </si>
  <si>
    <t xml:space="preserve">RUA LESTE OESTE, 140</t>
  </si>
  <si>
    <t xml:space="preserve">RUA LESTE OESTE, 140, MONDUBIM, Fortaleza - CE, Brasil</t>
  </si>
  <si>
    <t xml:space="preserve">409</t>
  </si>
  <si>
    <t xml:space="preserve">CEI PARQUE SAO MIGUEL</t>
  </si>
  <si>
    <t xml:space="preserve">TRAV. SILVEIRA DA MOTA, 105</t>
  </si>
  <si>
    <t xml:space="preserve">TRAV. SILVEIRA DA MOTA, 105, LAGOA REDONDA, Fortaleza - CE, Brasil</t>
  </si>
  <si>
    <t xml:space="preserve">505</t>
  </si>
  <si>
    <t xml:space="preserve">CEI MARIA DE LOURDES RIBEIRO JEREISSATI</t>
  </si>
  <si>
    <t xml:space="preserve">RUA 1 (LOT. VILA VERDE), 930</t>
  </si>
  <si>
    <t xml:space="preserve">JARDIM DAS OLIVEIRAS</t>
  </si>
  <si>
    <t xml:space="preserve">RUA 1 (LOT. VILA VERDE), 930, JARDIM DAS OLIVEIRAS, Fortaleza - CE, Brasil</t>
  </si>
  <si>
    <t xml:space="preserve">891</t>
  </si>
  <si>
    <t xml:space="preserve">ESCOLA MUNICIPAL MARIA MARQUES CEDRO</t>
  </si>
  <si>
    <t xml:space="preserve">RUA DO SOL, 285</t>
  </si>
  <si>
    <t xml:space="preserve">RUA DO SOL, 285, PLANALTO AYRTON SENNA, Fortaleza - CE, Brasil</t>
  </si>
  <si>
    <t xml:space="preserve">200</t>
  </si>
  <si>
    <t xml:space="preserve">ESCOLA MUNICIPAL JOAO HILDO DE CARVALHO FURTADO</t>
  </si>
  <si>
    <t xml:space="preserve">RUA JUVÊNCIO SALES, S/N</t>
  </si>
  <si>
    <t xml:space="preserve">RUA JUVÊNCIO SALES, S/N, ARACAPÉ, Fortaleza - CE, Brasil</t>
  </si>
  <si>
    <t xml:space="preserve">230</t>
  </si>
  <si>
    <t xml:space="preserve">ESCOLA MUNICIPAL JOSE CARLOS DA COSTA RIBEIRO</t>
  </si>
  <si>
    <t xml:space="preserve">RUA PIO SARAIVA, 335</t>
  </si>
  <si>
    <t xml:space="preserve">RUA PIO SARAIVA, 335, QUINTINO CUNHA, Fortaleza - CE, Brasil</t>
  </si>
  <si>
    <t xml:space="preserve">115</t>
  </si>
  <si>
    <t xml:space="preserve">ESCOLA MUNICIPAL PAULO SARASATE</t>
  </si>
  <si>
    <t xml:space="preserve">82</t>
  </si>
  <si>
    <t xml:space="preserve">ESCOLA MUNICIPAL PROFESSORA AIDA SANTOS E SILVA</t>
  </si>
  <si>
    <t xml:space="preserve">AV. TRAJANO DE MEDEIROS, 813</t>
  </si>
  <si>
    <t xml:space="preserve">AV. TRAJANO DE MEDEIROS, 813, VICENTE PINZÓN, Fortaleza - CE, Brasil</t>
  </si>
  <si>
    <t xml:space="preserve">190</t>
  </si>
  <si>
    <t xml:space="preserve">ESCOLA MUNICIPAL MARIA DE LOURDES</t>
  </si>
  <si>
    <t xml:space="preserve">RUA LUIS MENDES, 174</t>
  </si>
  <si>
    <t xml:space="preserve">CIDADE DOS FUNCIONÁRIOS</t>
  </si>
  <si>
    <t xml:space="preserve">RUA LUIS MENDES, 174, CIDADE DOS FUNCIONÁRIOS, Fortaleza - CE, Brasil</t>
  </si>
  <si>
    <t xml:space="preserve">156</t>
  </si>
  <si>
    <t xml:space="preserve">ESCOLA MUNICIPAL PROFESSOR LUIS RECAMONDE CAPELO </t>
  </si>
  <si>
    <t xml:space="preserve">RUA MARIA QUINTELA, 706</t>
  </si>
  <si>
    <t xml:space="preserve">RUA MARIA QUINTELA, 706, BONSUCESSO, Fortaleza - CE, Brasil</t>
  </si>
  <si>
    <t xml:space="preserve">307</t>
  </si>
  <si>
    <t xml:space="preserve">ESCOLA MUNICIPAL PROFESSOR DENIZARD MACEDO DE ALCANTARA</t>
  </si>
  <si>
    <t xml:space="preserve">RUA MATOSO FILHO, 450</t>
  </si>
  <si>
    <t xml:space="preserve">OLAVO OLIVEIRA</t>
  </si>
  <si>
    <t xml:space="preserve">RUA MATOSO FILHO, 450, OLAVO OLIVEIRA, Fortaleza - CE, Brasil</t>
  </si>
  <si>
    <t xml:space="preserve">348</t>
  </si>
  <si>
    <t xml:space="preserve">ESCOLA MUNICIPAL EDUCADOR PAULO FREIRE</t>
  </si>
  <si>
    <t xml:space="preserve">RUA CORONEL FABRICIANO, 452</t>
  </si>
  <si>
    <t xml:space="preserve">RUA CORONEL FABRICIANO, 452, GRANJA PORTUGAL, Fortaleza - CE, Brasil</t>
  </si>
  <si>
    <t xml:space="preserve">275</t>
  </si>
  <si>
    <t xml:space="preserve">ESCOLA MUNICIPAL PROFESSOR AMERICO BARREIRA </t>
  </si>
  <si>
    <t xml:space="preserve">RUA RICARDO PONTES, 529</t>
  </si>
  <si>
    <t xml:space="preserve">RUA RICARDO PONTES, 529, GENIBAÚ, Fortaleza - CE, Brasil</t>
  </si>
  <si>
    <t xml:space="preserve">142</t>
  </si>
  <si>
    <t xml:space="preserve">ESCOLA MUNICIPAL BARBARA DE ALENCAR </t>
  </si>
  <si>
    <t xml:space="preserve">RUA CAPITÃO PORFÍRIO, 544</t>
  </si>
  <si>
    <t xml:space="preserve">RUA CAPITÃO PORFÍRIO, 544, PARQUE SANTA MARIA, Fortaleza - CE, Brasil</t>
  </si>
  <si>
    <t xml:space="preserve">147</t>
  </si>
  <si>
    <t xml:space="preserve">ESCOLA MUNICIPAL GODOFREDO DE CASTRO FILHO</t>
  </si>
  <si>
    <t xml:space="preserve">185</t>
  </si>
  <si>
    <t xml:space="preserve">ESCOLA MUNICIPAL MURILO AGUIAR</t>
  </si>
  <si>
    <t xml:space="preserve">RUA 24 DE OUTUBRO, 655</t>
  </si>
  <si>
    <t xml:space="preserve">A.S.4048-26</t>
  </si>
  <si>
    <t xml:space="preserve">RUA 24 DE OUTUBRO, 655, GENIBAÚ, Fortaleza - CE, Brasil</t>
  </si>
  <si>
    <t xml:space="preserve">214</t>
  </si>
  <si>
    <t xml:space="preserve">ESCOLA MUNICIPAL MOZART PINTO </t>
  </si>
  <si>
    <t xml:space="preserve">RUA JORGE DUMAR, 2078</t>
  </si>
  <si>
    <t xml:space="preserve">RUA JORGE DUMAR, 2078, JARDIM AMÉRICA, Fortaleza - CE, Brasil</t>
  </si>
  <si>
    <t xml:space="preserve">225</t>
  </si>
  <si>
    <t xml:space="preserve">ESCOLA MUNICIPAL JOSE DE ALENCAR </t>
  </si>
  <si>
    <t xml:space="preserve">RUA ALBERTO FERREIRA, 248</t>
  </si>
  <si>
    <t xml:space="preserve">RUA ALBERTO FERREIRA, 248, JARDIM IRACEMA, Fortaleza - CE, Brasil</t>
  </si>
  <si>
    <t xml:space="preserve">237</t>
  </si>
  <si>
    <t xml:space="preserve">ESCOLA MUNICIPAL EDILSON BRASIL SOAREZ </t>
  </si>
  <si>
    <t xml:space="preserve">RUA 303D, 67</t>
  </si>
  <si>
    <t xml:space="preserve">RUA 303D, 67, CONJUNTO CEARÁ II, Fortaleza - CE, Brasil</t>
  </si>
  <si>
    <t xml:space="preserve">152</t>
  </si>
  <si>
    <t xml:space="preserve">ESCOLA MUNICIPAL PROFESSORA EDITH BRAGA</t>
  </si>
  <si>
    <t xml:space="preserve">342</t>
  </si>
  <si>
    <t xml:space="preserve">ESCOLA MUNICIPAL HERBERT DE SOUZA</t>
  </si>
  <si>
    <t xml:space="preserve">RUA URUCUTUBA, 1599</t>
  </si>
  <si>
    <t xml:space="preserve">RUA URUCUTUBA, 1599, BOM JARDIM, Fortaleza - CE, Brasil</t>
  </si>
  <si>
    <t xml:space="preserve">136</t>
  </si>
  <si>
    <t xml:space="preserve">ESCOLA MUNICIPAL PROFESSORA MARIA LIDUINA CORREA LEITE</t>
  </si>
  <si>
    <t xml:space="preserve">RUA FERNÃO MAGALHÃES, 120</t>
  </si>
  <si>
    <t xml:space="preserve">RUA FERNÃO MAGALHÃES, 120, PICI, Fortaleza - CE, Brasil</t>
  </si>
  <si>
    <t xml:space="preserve">359</t>
  </si>
  <si>
    <t xml:space="preserve">ESCOLA MUNICIPAL RAIMUNDO DE MOURA MATOS</t>
  </si>
  <si>
    <t xml:space="preserve">AV. DOIS DE MAIO, 1300</t>
  </si>
  <si>
    <t xml:space="preserve">AV. DOIS DE MAIO, 1300, PASSARÉ, Fortaleza - CE, Brasil</t>
  </si>
  <si>
    <t xml:space="preserve">103</t>
  </si>
  <si>
    <t xml:space="preserve">ESCOLA MUNICIPAL PROFESSOR JOSE CIRIO PEREIRA FILHO</t>
  </si>
  <si>
    <t xml:space="preserve">RUA QUARTZO ROSA, 100</t>
  </si>
  <si>
    <t xml:space="preserve">RUA QUARTZO ROSA, 100, SIQUEIRA, Fortaleza - CE, Brasil</t>
  </si>
  <si>
    <t xml:space="preserve">196</t>
  </si>
  <si>
    <t xml:space="preserve">ESCOLA MUNICIPAL PROFESSORA MARIA ANTONEZIA MEIRELES E SA</t>
  </si>
  <si>
    <t xml:space="preserve">RUA CORONEL VIRGÍLIO TÁVORA, 1340</t>
  </si>
  <si>
    <t xml:space="preserve">RUA CORONEL VIRGÍLIO TÁVORA, 1340, BARROSO, Fortaleza - CE, Brasil</t>
  </si>
  <si>
    <t xml:space="preserve">203</t>
  </si>
  <si>
    <t xml:space="preserve">ESCOLA MUNICIPAL ODILON GONZAGA BRAVEZA</t>
  </si>
  <si>
    <t xml:space="preserve">AV. ALBERTO CRAVEIRO, 1480C</t>
  </si>
  <si>
    <t xml:space="preserve">AV. ALBERTO CRAVEIRO, 1480C, BOA VISTA/CASTELÃO, Fortaleza - CE, Brasil</t>
  </si>
  <si>
    <t xml:space="preserve">838</t>
  </si>
  <si>
    <t xml:space="preserve"> ESCOLA MUNICIPAL DE TEMPO INTEGRAL MARIA ODETE DA SILVA COLARES </t>
  </si>
  <si>
    <t xml:space="preserve">RUA CEL. JOÃO DE OLIVEIRA, 687</t>
  </si>
  <si>
    <t xml:space="preserve">RUA CEL. JOÃO DE OLIVEIRA, 687, MESSEJANA, Fortaleza - CE, Brasil</t>
  </si>
  <si>
    <t xml:space="preserve">941</t>
  </si>
  <si>
    <t xml:space="preserve">ESCOLA MUNICIPAL DE TEMPO INTEGRAL LAIS RODRIGUES DE ALMEIDA </t>
  </si>
  <si>
    <t xml:space="preserve">AVENIDA ODILON GUIMARÃES, 1773</t>
  </si>
  <si>
    <t xml:space="preserve">CURIÓ</t>
  </si>
  <si>
    <t xml:space="preserve">AVENIDA ODILON GUIMARÃES, 1773, CURIÓ, Fortaleza - CE, Brasil</t>
  </si>
  <si>
    <t xml:space="preserve">304</t>
  </si>
  <si>
    <t xml:space="preserve">ESCOLA MUNICIPAL PROFESSORA TEREZINHA FERREIRA PARENTE</t>
  </si>
  <si>
    <t xml:space="preserve">315</t>
  </si>
  <si>
    <t xml:space="preserve">ESCOLA MUNICIPAL TAIS MARIA BEZERRA NOGUEIRA </t>
  </si>
  <si>
    <t xml:space="preserve">AV. GOVERNADOR LEONEL BRIZOLA, 710</t>
  </si>
  <si>
    <t xml:space="preserve">AV. GOVERNADOR LEONEL BRIZOLA, 710, JANGURUSSU, Fortaleza - CE, Brasil</t>
  </si>
  <si>
    <t xml:space="preserve">331</t>
  </si>
  <si>
    <t xml:space="preserve">ESCOLA MUNICIPAL PROFESSOR JOSE REBOUCAS MACAMBIRA</t>
  </si>
  <si>
    <t xml:space="preserve">RUA CIDADE DE CARIÚS, 200</t>
  </si>
  <si>
    <t xml:space="preserve">A.S. 3965-26</t>
  </si>
  <si>
    <t xml:space="preserve">RUA CIDADE DE CARIÚS, 200, JARDIM GUANABARA, Fortaleza - CE, Brasil</t>
  </si>
  <si>
    <t xml:space="preserve">123</t>
  </si>
  <si>
    <t xml:space="preserve">ESCOLA MUNICIPAL MANOEL MALVEIRA MAIA</t>
  </si>
  <si>
    <t xml:space="preserve">RUA DANDARA KETLEY, 2890</t>
  </si>
  <si>
    <t xml:space="preserve">RUA DANDARA KETLEY, 2890, GRANJA LISBOA, Fortaleza - CE, Brasil</t>
  </si>
  <si>
    <t xml:space="preserve">220</t>
  </si>
  <si>
    <t xml:space="preserve">ESCOLA MUNICIPAL FRANCISCO ANDRADE TEOFILO GIRAO</t>
  </si>
  <si>
    <t xml:space="preserve">RUA UNIDOS VENCEREMOS, 2040</t>
  </si>
  <si>
    <t xml:space="preserve">R$ 64.519,64</t>
  </si>
  <si>
    <t xml:space="preserve">A.S. Nº 4016/26</t>
  </si>
  <si>
    <t xml:space="preserve">A.S. Nº 3585/25</t>
  </si>
  <si>
    <t xml:space="preserve">RUA UNIDOS VENCEREMOS, 2040, PASSARÉ, Fortaleza - CE, Brasil</t>
  </si>
  <si>
    <t xml:space="preserve">956</t>
  </si>
  <si>
    <t xml:space="preserve">ESCOLA MUNICIPAL DE TEMPO INTEGRAL JOSE AROLDO CAVALCANTE MOTA</t>
  </si>
  <si>
    <t xml:space="preserve">RUA F, S/N (LOT. MORUMBI I)</t>
  </si>
  <si>
    <t xml:space="preserve">RUA F, S/N (LOT. MORUMBI I), BARROSO, Fortaleza - CE, Brasil</t>
  </si>
  <si>
    <t xml:space="preserve">231</t>
  </si>
  <si>
    <t xml:space="preserve">ESCOLA MUNICIPAL JOSE SOBREIRA DE AMORIM</t>
  </si>
  <si>
    <t xml:space="preserve">RUA TENENTE TITO BARROS, 330</t>
  </si>
  <si>
    <t xml:space="preserve">RUA TENENTE TITO BARROS, 330, CAJAZEIRAS, Fortaleza - CE, Brasil</t>
  </si>
  <si>
    <t xml:space="preserve">1017</t>
  </si>
  <si>
    <t xml:space="preserve">ESCOLA MUNICIPAL PROFESSOR ASTHON GUILHERME DA SILVA</t>
  </si>
  <si>
    <t xml:space="preserve">RUA B, 295 (RES. JOSÉ EUCLIDES)</t>
  </si>
  <si>
    <t xml:space="preserve">RUA B, 295 (RES. JOSÉ EUCLIDES), JANGURUSSU, Fortaleza - CE, Brasil</t>
  </si>
  <si>
    <t xml:space="preserve">265</t>
  </si>
  <si>
    <t xml:space="preserve">ESCOLA MUNICIPAL MARIA DOLORES PETROLA DE MELO JORGE</t>
  </si>
  <si>
    <t xml:space="preserve">RUA PAULINO ROCHA, 1000</t>
  </si>
  <si>
    <t xml:space="preserve">RUA PAULINO ROCHA, 1000, GRANJA LISBOA, Fortaleza - CE, Brasil</t>
  </si>
  <si>
    <t xml:space="preserve">344</t>
  </si>
  <si>
    <t xml:space="preserve">ESCOLA MUNICIPAL NOELZINDA SATIRO SANTIAGO</t>
  </si>
  <si>
    <t xml:space="preserve">RUA DOM XISTO ALBANO, 1298</t>
  </si>
  <si>
    <t xml:space="preserve">PARQUE SÃO JOSÉ</t>
  </si>
  <si>
    <t xml:space="preserve">RUA DOM XISTO ALBANO, 1298, PARQUE SÃO JOSÉ, Fortaleza - CE, Brasil</t>
  </si>
  <si>
    <t xml:space="preserve">328</t>
  </si>
  <si>
    <t xml:space="preserve">ESCOLA MUNICIPAL IRMA MARIA EVANETE</t>
  </si>
  <si>
    <t xml:space="preserve">AV. D, 1015</t>
  </si>
  <si>
    <t xml:space="preserve">AV. D, 1015, GENIBAÚ, Fortaleza - CE, Brasil</t>
  </si>
  <si>
    <t xml:space="preserve">198</t>
  </si>
  <si>
    <t xml:space="preserve">ESCOLA MUNICIPAL PAPA JOAO XXIII</t>
  </si>
  <si>
    <t xml:space="preserve">RUA TREZE DE ABRIL, 545</t>
  </si>
  <si>
    <t xml:space="preserve">RUA TREZE DE ABRIL, 545, VILA UNIÃO, Fortaleza - CE, Brasil</t>
  </si>
  <si>
    <t xml:space="preserve">1039</t>
  </si>
  <si>
    <t xml:space="preserve">ESCOLA MUNICIPAL ROSA DA FONSECA</t>
  </si>
  <si>
    <t xml:space="preserve">RUA ALVORADA DA PAZ, 46</t>
  </si>
  <si>
    <t xml:space="preserve">RUA ALVORADA DA PAZ, 46, JANGURUSSU, Fortaleza - CE, Brasil</t>
  </si>
  <si>
    <t xml:space="preserve">346</t>
  </si>
  <si>
    <t xml:space="preserve">ESCOLA MUNICIPAL PROFESSORA LIREDA FACO</t>
  </si>
  <si>
    <t xml:space="preserve">1172</t>
  </si>
  <si>
    <t xml:space="preserve">ESCOLA MUNICIPAL PROFESSORA MARIA DE FATIMA FREIRES DA CRUZ</t>
  </si>
  <si>
    <t xml:space="preserve">RUA 9 - LOTE 2, S/N</t>
  </si>
  <si>
    <t xml:space="preserve">RUA 9 - LOTE 2, S/N, PEDRAS, Fortaleza - CE, Brasil</t>
  </si>
  <si>
    <t xml:space="preserve">101</t>
  </si>
  <si>
    <t xml:space="preserve">ESCOLA MUNICIPAL DE TEMPO INTEGRAL CAROLINO SUCUPIRA </t>
  </si>
  <si>
    <t xml:space="preserve">RUA MUNDICA PAULA, 670</t>
  </si>
  <si>
    <t xml:space="preserve">RUA MUNDICA PAULA, 670, ITAOCA, Fortaleza - CE, Brasil</t>
  </si>
  <si>
    <t xml:space="preserve">173</t>
  </si>
  <si>
    <t xml:space="preserve">ESCOLA MUNICIPAL MARIA DE CARVALHO MARTINS</t>
  </si>
  <si>
    <t xml:space="preserve">AV. DOUTOR SILAS MUNGUBA, 4300</t>
  </si>
  <si>
    <t xml:space="preserve">AV. DOUTOR SILAS MUNGUBA, 4300, ITAPERI, Fortaleza - CE, Brasil</t>
  </si>
  <si>
    <t xml:space="preserve">362</t>
  </si>
  <si>
    <t xml:space="preserve">ESCOLA MUNICIPAL PROFESSOR CLODOMIR TEOFILO GIRAO</t>
  </si>
  <si>
    <t xml:space="preserve">TRAV. RÚTILO, 108</t>
  </si>
  <si>
    <t xml:space="preserve">TRAV. RÚTILO, 108, MESSEJANA, Fortaleza - CE, Brasil</t>
  </si>
  <si>
    <t xml:space="preserve">336</t>
  </si>
  <si>
    <t xml:space="preserve">ESCOLA MUNICIPAL JOAO MENDES DE ANDRADE</t>
  </si>
  <si>
    <t xml:space="preserve">RUA B, 1366 (CONJUNTO PALMARES)</t>
  </si>
  <si>
    <t xml:space="preserve">RUA B, 1366 (CONJUNTO PALMARES), GRANJA LISBOA, Fortaleza - CE, Brasil</t>
  </si>
  <si>
    <t xml:space="preserve">93</t>
  </si>
  <si>
    <t xml:space="preserve">ESCOLA MUNICIPAL BERGSON GURJAO FARIAS</t>
  </si>
  <si>
    <t xml:space="preserve">338</t>
  </si>
  <si>
    <t xml:space="preserve">ESCOLA MUNICIPAL JOSEFA BARROS DE ALENCAR</t>
  </si>
  <si>
    <t xml:space="preserve">RUA DOUTOR JOAQUIM BENTO, 590</t>
  </si>
  <si>
    <t xml:space="preserve">RUA DOUTOR JOAQUIM BENTO, 590, MESSEJANA, Fortaleza - CE, Brasil</t>
  </si>
  <si>
    <t xml:space="preserve">121</t>
  </si>
  <si>
    <t xml:space="preserve">ESCOLA MUNICIPAL RACHEL VIANA MARTINS</t>
  </si>
  <si>
    <t xml:space="preserve">318</t>
  </si>
  <si>
    <t xml:space="preserve">ESCOLA MUNICIPAL MINHA VIDA MEUS AMORES</t>
  </si>
  <si>
    <t xml:space="preserve">AV. D, 380 (2ª ETAPA)</t>
  </si>
  <si>
    <t xml:space="preserve">6. ENTREGA DE MÁQUINAS</t>
  </si>
  <si>
    <t xml:space="preserve">AV. D, 380 (2ª ETAPA), PREFEITO JOSÉ WALTER, Fortaleza - CE, Brasil</t>
  </si>
  <si>
    <t xml:space="preserve">149</t>
  </si>
  <si>
    <t xml:space="preserve">ESCOLA MUNICIPAL CREUSA DO CARMO ROCHA </t>
  </si>
  <si>
    <t xml:space="preserve">RUA DUAS NAÇÕES, 1055</t>
  </si>
  <si>
    <t xml:space="preserve">RUA DUAS NAÇÕES, 1055, GRANJA PORTUGAL, Fortaleza - CE, Brasil</t>
  </si>
  <si>
    <t xml:space="preserve">157</t>
  </si>
  <si>
    <t xml:space="preserve">ESCOLA MUNICIPAL MARIETA CALS</t>
  </si>
  <si>
    <t xml:space="preserve">AV. VALPARAISO, 160</t>
  </si>
  <si>
    <t xml:space="preserve">AV. VALPARAISO, 160, CONJUNTO PALMEIRAS, Fortaleza - CE, Brasil</t>
  </si>
  <si>
    <t xml:space="preserve">181</t>
  </si>
  <si>
    <t xml:space="preserve">ESCOLA MUNICIPAL PROFESSOR JACINTO BOTELHO</t>
  </si>
  <si>
    <t xml:space="preserve">RUA DOUTOR RODRIGO CODES SANDOVAL, 374</t>
  </si>
  <si>
    <t xml:space="preserve">RUA DOUTOR RODRIGO CODES SANDOVAL, 374, MONDUBIM, Fortaleza - CE, Brasil</t>
  </si>
  <si>
    <t xml:space="preserve">188</t>
  </si>
  <si>
    <t xml:space="preserve">ESCOLA MUNICIPAL HILBERTO SILVA </t>
  </si>
  <si>
    <t xml:space="preserve">AV. PRESIDENTE CASTELO BRANCO, 2973</t>
  </si>
  <si>
    <t xml:space="preserve">AV. PRESIDENTE CASTELO BRANCO, 2973, CARLITO PAMPLONA, Fortaleza - CE, Brasil</t>
  </si>
  <si>
    <t xml:space="preserve">226</t>
  </si>
  <si>
    <t xml:space="preserve">ESCOLA MUNICIPAL ANTONIO CORREIA LIMA </t>
  </si>
  <si>
    <t xml:space="preserve">RUA HERMES PARAÍBA, 934</t>
  </si>
  <si>
    <t xml:space="preserve">RUA HERMES PARAÍBA, 934, VILA VELHA, Fortaleza - CE, Brasil</t>
  </si>
  <si>
    <t xml:space="preserve">251</t>
  </si>
  <si>
    <t xml:space="preserve">ESCOLA MUNICIPAL PROFESSOR JOSE FERREIRA DE ALENCAR</t>
  </si>
  <si>
    <t xml:space="preserve">RUA SÃO FRANCISCO, 557</t>
  </si>
  <si>
    <t xml:space="preserve">RUA SÃO FRANCISCO, 557, BOM JARDIM, Fortaleza - CE, Brasil</t>
  </si>
  <si>
    <t xml:space="preserve">267</t>
  </si>
  <si>
    <t xml:space="preserve">ESCOLA MUNICIPAL JOAO PAULO II</t>
  </si>
  <si>
    <t xml:space="preserve">AV. C, 1381</t>
  </si>
  <si>
    <t xml:space="preserve">AV. C, 1381, CONJUNTO CEARÁ II, Fortaleza - CE, Brasil</t>
  </si>
  <si>
    <t xml:space="preserve">326</t>
  </si>
  <si>
    <t xml:space="preserve">ESCOLA MUNICIPAL SINO PINHEIRO</t>
  </si>
  <si>
    <t xml:space="preserve">RUA 14, 151 (CONJUNTO JOÃO PAULO II)</t>
  </si>
  <si>
    <t xml:space="preserve">RUA 14, 151 (CONJUNTO JOÃO PAULO II), BARROSO, Fortaleza - CE, Brasil</t>
  </si>
  <si>
    <t xml:space="preserve">1188</t>
  </si>
  <si>
    <t xml:space="preserve">ESCOLA MUNICIPAL IRAGUASSU TEIXEIRA</t>
  </si>
  <si>
    <t xml:space="preserve">RUA COLETORA CENTRAL 3, S/N</t>
  </si>
  <si>
    <t xml:space="preserve">RUA COLETORA CENTRAL 3, S/N, PEDRAS, Fortaleza - CE, Brasil</t>
  </si>
  <si>
    <t xml:space="preserve">186</t>
  </si>
  <si>
    <t xml:space="preserve">ESCOLA MUNICIPAL SANTA MARIA</t>
  </si>
  <si>
    <t xml:space="preserve">R$ 19.429,24</t>
  </si>
  <si>
    <t xml:space="preserve">A.S. Nº 3740/25</t>
  </si>
  <si>
    <t xml:space="preserve">A.S. Nº 3738/25</t>
  </si>
  <si>
    <t xml:space="preserve">126</t>
  </si>
  <si>
    <t xml:space="preserve">ESCOLA MUNICIPAL JOSE BONIFACIO DE SOUSA </t>
  </si>
  <si>
    <t xml:space="preserve">RUA PERNAMBUCO, 600</t>
  </si>
  <si>
    <t xml:space="preserve">A.S. 3963-26</t>
  </si>
  <si>
    <t xml:space="preserve">RUA PERNAMBUCO, 600, PICI, Fortaleza - CE, Brasil</t>
  </si>
  <si>
    <t xml:space="preserve">308</t>
  </si>
  <si>
    <t xml:space="preserve">ESCOLA MUNICIPAL PROFESSOR JOSE MARIA MOREIRA CAMPOS</t>
  </si>
  <si>
    <t xml:space="preserve">RUA FRANCISCO DE ALMEIDA, 525</t>
  </si>
  <si>
    <t xml:space="preserve">PARQUE SANTA ROSA</t>
  </si>
  <si>
    <t xml:space="preserve">RUA FRANCISCO DE ALMEIDA, 525, PARQUE SANTA ROSA, Fortaleza - CE, Brasil</t>
  </si>
  <si>
    <t xml:space="preserve">208</t>
  </si>
  <si>
    <t xml:space="preserve">ESCOLA MUNICIPAL PROJETO NASCENTE</t>
  </si>
  <si>
    <t xml:space="preserve">RUA BETEL, 1715</t>
  </si>
  <si>
    <t xml:space="preserve">RUA BETEL, 1715, RACHEL DE QUEIROZ, Fortaleza - CE, Brasil</t>
  </si>
  <si>
    <t xml:space="preserve">314</t>
  </si>
  <si>
    <t xml:space="preserve">ESCOLA MUNICIPAL PROFESSOR MONTEIRO DE MORAES</t>
  </si>
  <si>
    <t xml:space="preserve">RUA EVILÁSIO ALMEIDA MIRANDA, 1608</t>
  </si>
  <si>
    <t xml:space="preserve">RUA EVILÁSIO ALMEIDA MIRANDA, 1608, SAPIRANGA/COITÉ, Fortaleza - CE, Brasil</t>
  </si>
  <si>
    <t xml:space="preserve">1149</t>
  </si>
  <si>
    <t xml:space="preserve">CEI MARIA DALVA DOS SANTOS</t>
  </si>
  <si>
    <t xml:space="preserve">RUA GAL. COSTA MATOS, S/N</t>
  </si>
  <si>
    <t xml:space="preserve">RUA GAL. COSTA MATOS, S/N, JACARECANGA, Fortaleza - CE, Brasil</t>
  </si>
  <si>
    <t xml:space="preserve">138</t>
  </si>
  <si>
    <t xml:space="preserve">ESCOLA MUNICIPAL NOSSA SENHORA DO SAGRADO CORACAO EI/EF</t>
  </si>
  <si>
    <t xml:space="preserve">RUA ANA GONÇALVES, 1</t>
  </si>
  <si>
    <t xml:space="preserve">RUA ANA GONÇALVES, 1, TAUAPE, Fortaleza - CE, Brasil</t>
  </si>
  <si>
    <t xml:space="preserve">171</t>
  </si>
  <si>
    <t xml:space="preserve">ESCOLA MUNICIPAL MARCOS VALENTIM PEREIRA DE SOUZA</t>
  </si>
  <si>
    <t xml:space="preserve">182</t>
  </si>
  <si>
    <t xml:space="preserve">ESCOLA MUNICIPAL PROFESSORA ALDACI BARBOSA </t>
  </si>
  <si>
    <t xml:space="preserve">RUA CORONEL OLEGÁRIO MEMÓRIA, 1257</t>
  </si>
  <si>
    <t xml:space="preserve">RUA CORONEL OLEGÁRIO MEMÓRIA, 1257, SAPIRANGA/COITÉ, Fortaleza - CE, Brasil</t>
  </si>
  <si>
    <t xml:space="preserve">343</t>
  </si>
  <si>
    <t xml:space="preserve">ESCOLA MUNICIPAL MOREIRA DA ROCHA </t>
  </si>
  <si>
    <t xml:space="preserve">AV. ODILON GUIMARÃES, 3860</t>
  </si>
  <si>
    <t xml:space="preserve">AV. ODILON GUIMARÃES, 3860, LAGOA REDONDA, Fortaleza - CE, Brasil</t>
  </si>
  <si>
    <t xml:space="preserve">273</t>
  </si>
  <si>
    <t xml:space="preserve">ESCOLA MUNICIPAL PROFESSOR EDILSON BRASIL SOAREZ</t>
  </si>
  <si>
    <t xml:space="preserve">RUA LOCAL 11, S/N (CONJUNTO TATU MUNDÉ)</t>
  </si>
  <si>
    <t xml:space="preserve">RUA LOCAL 11, S/N (CONJUNTO TATU MUNDÉ), SIQUEIRA, Fortaleza - CE, Brasil</t>
  </si>
  <si>
    <t xml:space="preserve">316</t>
  </si>
  <si>
    <t xml:space="preserve">ESCOLA MUNICIPAL DE TEMPO INTEGRAL PROFESSOR ANTONIO GIRAO BARROSO </t>
  </si>
  <si>
    <t xml:space="preserve">RUA 37, S/N (CONJUNTO SÍTIO SÃO JOÃO)</t>
  </si>
  <si>
    <t xml:space="preserve">RUA 37, S/N (CONJUNTO SÍTIO SÃO JOÃO), JANGURUSSU, Fortaleza - CE, Brasil</t>
  </si>
  <si>
    <t xml:space="preserve">159</t>
  </si>
  <si>
    <t xml:space="preserve">ESCOLA MUNICIPAL MANOELITO GUIMARAES DOMINGUES</t>
  </si>
  <si>
    <t xml:space="preserve">RUA BABILÔNIA, S/N</t>
  </si>
  <si>
    <t xml:space="preserve">ANCURI</t>
  </si>
  <si>
    <t xml:space="preserve">RUA BABILÔNIA, S/N, ANCURI, Fortaleza - CE, Brasil</t>
  </si>
  <si>
    <t xml:space="preserve">345</t>
  </si>
  <si>
    <t xml:space="preserve">ESCOLA MUNICIPAL REITOR ANTONIO MARTINS FILHO</t>
  </si>
  <si>
    <t xml:space="preserve">RUA TEODORO DE CASTRO, 1175</t>
  </si>
  <si>
    <t xml:space="preserve">RUA TEODORO DE CASTRO, 1175, GRANJA PORTUGAL, Fortaleza - CE, Brasil</t>
  </si>
  <si>
    <t xml:space="preserve">222</t>
  </si>
  <si>
    <t xml:space="preserve">ESCOLA MUNICIPAL PROFESSORA MARIA STELLA COCHRANE SANTIAGO</t>
  </si>
  <si>
    <t xml:space="preserve">RUA ANTÔNIO FARIAS, 121</t>
  </si>
  <si>
    <t xml:space="preserve">RUA ANTÔNIO FARIAS, 121, BOA VISTA/CASTELÃO, Fortaleza - CE, Brasil</t>
  </si>
  <si>
    <t xml:space="preserve">1036</t>
  </si>
  <si>
    <t xml:space="preserve">CEI MARIA FELIX RODRIGUES</t>
  </si>
  <si>
    <t xml:space="preserve">AV C, S/N (CONJ. ARACAPÉ)</t>
  </si>
  <si>
    <t xml:space="preserve">AV C, S/N (CONJ. ARACAPÉ), ARACAPÉ, Fortaleza - CE, Brasil</t>
  </si>
  <si>
    <t xml:space="preserve">116</t>
  </si>
  <si>
    <t xml:space="preserve">ESCOLA MUNICIPAL PROFESSOR JOSE VALDEVINO DE CARVALHO</t>
  </si>
  <si>
    <t xml:space="preserve">RUA GUARÁ, S/N</t>
  </si>
  <si>
    <t xml:space="preserve">RUA GUARÁ, S/N, PARANGABA, Fortaleza - CE, Brasil</t>
  </si>
  <si>
    <t xml:space="preserve">189</t>
  </si>
  <si>
    <t xml:space="preserve">ESCOLA MUNICIPAL PROFESSOR ANISIO TEIXEIRA</t>
  </si>
  <si>
    <t xml:space="preserve">RUA SIMÃO SANTOS, S/N</t>
  </si>
  <si>
    <t xml:space="preserve">RUA SIMÃO SANTOS, S/N, PAUPINA, Fortaleza - CE, Brasil</t>
  </si>
  <si>
    <t xml:space="preserve">246</t>
  </si>
  <si>
    <t xml:space="preserve">ESCOLA MUNICIPAL PROFESSOR JOAO HIPOLYTO DE AZEVEDO E SA</t>
  </si>
  <si>
    <t xml:space="preserve">RUA 03, 88 (CONJUNTO NAPOLEÃO VIANA)</t>
  </si>
  <si>
    <t xml:space="preserve">RUA 03, 88 (CONJUNTO NAPOLEÃO VIANA), DIAS MACÊDO, Fortaleza - CE, Brasil</t>
  </si>
  <si>
    <t xml:space="preserve">312</t>
  </si>
  <si>
    <t xml:space="preserve">ESCOLA MUNICIPAL MARTHA DOS MARTINS COELHO GUILHERME</t>
  </si>
  <si>
    <t xml:space="preserve">RUA 313, 243 (CONJUNTO SÃO CRISTÓVÃO)</t>
  </si>
  <si>
    <t xml:space="preserve">RUA 313, 243 (CONJUNTO SÃO CRISTÓVÃO), JANGURUSSU, Fortaleza - CE, Brasil</t>
  </si>
  <si>
    <t xml:space="preserve">266</t>
  </si>
  <si>
    <t xml:space="preserve">ESCOLA MUNICIPAL MARIA BEZERRA QUEVEDO</t>
  </si>
  <si>
    <t xml:space="preserve">RUA 103, 28 (CONJUNTO NOVO MONDUBIM)</t>
  </si>
  <si>
    <t xml:space="preserve">RUA 103, 28 (CONJUNTO NOVO MONDUBIM), NOVO MONDUBIM, Fortaleza - CE, Brasil</t>
  </si>
  <si>
    <t xml:space="preserve">158</t>
  </si>
  <si>
    <t xml:space="preserve">ESCOLA MUNICIPAL MARIA DE JESUS ORIA ALENCAR</t>
  </si>
  <si>
    <t xml:space="preserve">RUA 43, S/N (CONJUNTO SÃO JOÃO)</t>
  </si>
  <si>
    <t xml:space="preserve">RUA 43, S/N (CONJUNTO SÃO JOÃO), JANGURUSSU, Fortaleza - CE, Brasil</t>
  </si>
  <si>
    <t xml:space="preserve">177</t>
  </si>
  <si>
    <t xml:space="preserve">ESCOLA MUNICIPAL DE TEMPO INTEGRAL JOAO GERMANO DA PONTE NETO</t>
  </si>
  <si>
    <t xml:space="preserve">RUA MAÍZA, 549</t>
  </si>
  <si>
    <t xml:space="preserve">RUA MAÍZA, 549, CONJUNTO PALMEIRAS, Fortaleza - CE, Brasil</t>
  </si>
  <si>
    <t xml:space="preserve">241</t>
  </si>
  <si>
    <t xml:space="preserve">ESCOLA MUNICIPAL MARIA ROSELI LIMA MESQUITA</t>
  </si>
  <si>
    <t xml:space="preserve">RUA FRANCISCO CALAÇA, 1791</t>
  </si>
  <si>
    <t xml:space="preserve">RUA FRANCISCO CALAÇA, 1791, ÁLVARO WEYNE, Fortaleza - CE, Brasil</t>
  </si>
  <si>
    <t xml:space="preserve">269</t>
  </si>
  <si>
    <t xml:space="preserve">ESCOLA MUNICIPAL SANTOS DUMONT</t>
  </si>
  <si>
    <t xml:space="preserve">RUA GERALDO BARBOSA, 240</t>
  </si>
  <si>
    <t xml:space="preserve">RUA GERALDO BARBOSA, 240, BOM JARDIM, Fortaleza - CE, Brasil</t>
  </si>
  <si>
    <t xml:space="preserve">291</t>
  </si>
  <si>
    <t xml:space="preserve">ESCOLA MUNICIPAL NOSSA SENHORA DO PERPETUO SOCORRO </t>
  </si>
  <si>
    <t xml:space="preserve">RUA CÔNSUL GOUVEIA, 57</t>
  </si>
  <si>
    <t xml:space="preserve">A.S.4112-26</t>
  </si>
  <si>
    <t xml:space="preserve">RUA CÔNSUL GOUVEIA, 57, ÁLVARO WEYNE, Fortaleza - CE, Brasil</t>
  </si>
  <si>
    <t xml:space="preserve">486</t>
  </si>
  <si>
    <t xml:space="preserve">CEI MENINO MALUQUINHO</t>
  </si>
  <si>
    <t xml:space="preserve">AV. ENGENHEIRO ALBERTO SÁ, 52</t>
  </si>
  <si>
    <t xml:space="preserve">AV. ENGENHEIRO ALBERTO SÁ, 52, PAPICU, Fortaleza - CE, Brasil</t>
  </si>
  <si>
    <t xml:space="preserve">349</t>
  </si>
  <si>
    <t xml:space="preserve">ESCOLA MUNICIPAL CATARINA LIMA DA SILVA </t>
  </si>
  <si>
    <t xml:space="preserve">RUA PEDRO MARTINS, 313</t>
  </si>
  <si>
    <t xml:space="preserve">RUA PEDRO MARTINS, 313, BOM JARDIM, Fortaleza - CE, Brasil</t>
  </si>
  <si>
    <t xml:space="preserve">223</t>
  </si>
  <si>
    <t xml:space="preserve">ESCOLA MUNICIPAL MARIA ZELIA CORREIA DE SOUZA</t>
  </si>
  <si>
    <t xml:space="preserve">168</t>
  </si>
  <si>
    <t xml:space="preserve">ESCOLA MUNICIPAL FLORIVAL ALVES SERAINE</t>
  </si>
  <si>
    <t xml:space="preserve">RUA ITATIAIA, 1000</t>
  </si>
  <si>
    <t xml:space="preserve">RUA ITATIAIA, 1000, CANINDEZINHO, Fortaleza - CE, Brasil</t>
  </si>
  <si>
    <t xml:space="preserve">205</t>
  </si>
  <si>
    <t xml:space="preserve">ESCOLA MUNICIPAL PROFESSORA FERNANDA MARIA DE ALENCAR COLARES</t>
  </si>
  <si>
    <t xml:space="preserve">AV. PROFESSOR JOSÉ ARTUR DE CARVALHO, 1540</t>
  </si>
  <si>
    <t xml:space="preserve">AV. PROFESSOR JOSÉ ARTUR DE CARVALHO, 1540, LAGOA REDONDA, Fortaleza - CE, Brasil</t>
  </si>
  <si>
    <t xml:space="preserve">96</t>
  </si>
  <si>
    <t xml:space="preserve">ESCOLA MUNICIPAL JORNALISTA DEMOCRITO DUMMAR</t>
  </si>
  <si>
    <t xml:space="preserve">AV. EUCLIDES PAULINO BARROSO, 2505</t>
  </si>
  <si>
    <t xml:space="preserve">AV. EUCLIDES PAULINO BARROSO, 2505, CANINDEZINHO, Fortaleza - CE, Brasil</t>
  </si>
  <si>
    <t xml:space="preserve">824</t>
  </si>
  <si>
    <t xml:space="preserve">CEI PROFESSOR JOSE DE RIBAMAR MORAES</t>
  </si>
  <si>
    <t xml:space="preserve">RUA CATOLÉ, S/N (CONJUNTO SÍTIO SÃO JOÃO)</t>
  </si>
  <si>
    <t xml:space="preserve">RUA CATOLÉ, S/N (CONJUNTO SÍTIO SÃO JOÃO), JANGURUSSU, Fortaleza - CE, Brasil</t>
  </si>
  <si>
    <t xml:space="preserve">193</t>
  </si>
  <si>
    <t xml:space="preserve">ESCOLA MUNICIPAL JORNALISTA JOSE BLANCHARD GIRAO DA SILVA</t>
  </si>
  <si>
    <t xml:space="preserve">957</t>
  </si>
  <si>
    <t xml:space="preserve">CEI PROFESSORA MARIA ROZANI MENDONÇA NOBRE</t>
  </si>
  <si>
    <t xml:space="preserve">RUA ESCRITOR TOM JOBIM, S/N</t>
  </si>
  <si>
    <t xml:space="preserve">RUA ESCRITOR TOM JOBIM, S/N, BARROSO, Fortaleza - CE, Brasil</t>
  </si>
  <si>
    <t xml:space="preserve">197</t>
  </si>
  <si>
    <t xml:space="preserve">ESCOLA MUNICIPAL JOSE BATISTA DE OLIVEIRA</t>
  </si>
  <si>
    <t xml:space="preserve">RUA GOIÁS, S/N</t>
  </si>
  <si>
    <t xml:space="preserve">A.S. 3962-26</t>
  </si>
  <si>
    <t xml:space="preserve">RUA GOIÁS, S/N, PANAMERICANO, Fortaleza - CE, Brasil</t>
  </si>
  <si>
    <t xml:space="preserve">108</t>
  </si>
  <si>
    <t xml:space="preserve">ESCOLA MUNICIPAL COLONIA Z-8</t>
  </si>
  <si>
    <t xml:space="preserve">RUA MANUEL JESUINO, 370</t>
  </si>
  <si>
    <t xml:space="preserve">MUCURIPE</t>
  </si>
  <si>
    <t xml:space="preserve">RUA MANUEL JESUINO, 370, MUCURIPE, Fortaleza - CE, Brasil</t>
  </si>
  <si>
    <t xml:space="preserve">217</t>
  </si>
  <si>
    <t xml:space="preserve">ESCOLA MUNICIPAL ANGELICA GURGEL </t>
  </si>
  <si>
    <t xml:space="preserve">RUA DOUTOR PERGENTINO MAIA, 375</t>
  </si>
  <si>
    <t xml:space="preserve">RUA DOUTOR PERGENTINO MAIA, 375, MESSEJANA, Fortaleza - CE, Brasil</t>
  </si>
  <si>
    <t xml:space="preserve">340</t>
  </si>
  <si>
    <t xml:space="preserve">ESCOLA MUNICIPAL PADRE ANTONIO MONTEIRO DA CRUZ</t>
  </si>
  <si>
    <t xml:space="preserve">131</t>
  </si>
  <si>
    <t xml:space="preserve">ESCOLA MUNICIPAL HENRIQUETA GALENO </t>
  </si>
  <si>
    <t xml:space="preserve">RUA MAJOR MONTENEGRO, 917</t>
  </si>
  <si>
    <t xml:space="preserve">RUA MAJOR MONTENEGRO, 917, MANOEL SÁTIRO, Fortaleza - CE, Brasil</t>
  </si>
  <si>
    <t xml:space="preserve">141</t>
  </si>
  <si>
    <t xml:space="preserve">ESCOLA MUNICIPAL OTAVIO DE FARIAS </t>
  </si>
  <si>
    <t xml:space="preserve">RUA JOÃO FERREIRA, S/N</t>
  </si>
  <si>
    <t xml:space="preserve">NÃO SERÁ NECESSÁRIO
REFORMA ELÉTRICA RECENTE</t>
  </si>
  <si>
    <t xml:space="preserve">A.S. 3821-25</t>
  </si>
  <si>
    <t xml:space="preserve">RUA JOÃO FERREIRA, S/N, BARROSO, Fortaleza - CE, Brasil</t>
  </si>
  <si>
    <t xml:space="preserve">299</t>
  </si>
  <si>
    <t xml:space="preserve">ESCOLA MUNICIPAL PROFESSORA MARIA DO SOCORRO FERREIRA VIRINO</t>
  </si>
  <si>
    <t xml:space="preserve">RUA MODESTA, 44</t>
  </si>
  <si>
    <t xml:space="preserve">RUA MODESTA, 44, CONJUNTO PALMEIRAS, Fortaleza - CE, Brasil</t>
  </si>
  <si>
    <t xml:space="preserve">180</t>
  </si>
  <si>
    <t xml:space="preserve">ESCOLA MUNICIPAL CASIMIRO MONTENEGRO</t>
  </si>
  <si>
    <t xml:space="preserve">AV. BERNARDO MANUEL,11360</t>
  </si>
  <si>
    <t xml:space="preserve">AV. BERNARDO MANUEL,11360, MONDUBIM, Fortaleza - CE, Brasil</t>
  </si>
  <si>
    <t xml:space="preserve">355</t>
  </si>
  <si>
    <t xml:space="preserve">ESCOLA MUNICIPAL DE TEMPO INTEGRAL PROFESSOR ALVARO COSTA </t>
  </si>
  <si>
    <t xml:space="preserve">AV. VICENTE DE CASTRO, 6074</t>
  </si>
  <si>
    <t xml:space="preserve">AV. VICENTE DE CASTRO, 6074, CAIS DO PORTO, Fortaleza - CE, Brasil</t>
  </si>
  <si>
    <t xml:space="preserve">327</t>
  </si>
  <si>
    <t xml:space="preserve">ESCOLA MUNICIPAL JOAO SARAIVA LEAO</t>
  </si>
  <si>
    <t xml:space="preserve">AV. PROFESSOR JOSÉ ARTHUR DE CARVALHO, 50</t>
  </si>
  <si>
    <t xml:space="preserve">AV. PROFESSOR JOSÉ ARTHUR DE CARVALHO, 50, GUAJERU, Fortaleza - CE, Brasil</t>
  </si>
  <si>
    <t xml:space="preserve">295</t>
  </si>
  <si>
    <t xml:space="preserve">ESCOLA MUNICIPAL PROFESSOR ERNESTO GURGEL</t>
  </si>
  <si>
    <t xml:space="preserve">RUA CORONEL OLEGÁRIO MEMÓRIA, 3105</t>
  </si>
  <si>
    <t xml:space="preserve">RUA CORONEL OLEGÁRIO MEMÓRIA, 3105, SAPIRANGA/COITÉ, Fortaleza - CE, Brasil</t>
  </si>
  <si>
    <t xml:space="preserve">234</t>
  </si>
  <si>
    <t xml:space="preserve">ESCOLA MUNICIPAL DOIS DE DEZEMBRO</t>
  </si>
  <si>
    <t xml:space="preserve">268</t>
  </si>
  <si>
    <t xml:space="preserve">ESCOLA MUNICIPAL ISABEL FERREIRA</t>
  </si>
  <si>
    <t xml:space="preserve">RUA ISABEL FERREIRA, 1000</t>
  </si>
  <si>
    <t xml:space="preserve">RUA ISABEL FERREIRA, 1000, LAGOA REDONDA, Fortaleza - CE, Brasil</t>
  </si>
  <si>
    <t xml:space="preserve">1320</t>
  </si>
  <si>
    <t xml:space="preserve">ESCOLA MUNICIPAL DE TEMPO INTEGRAL PROFESSOR FRANCIMAR MANGUEIRA</t>
  </si>
  <si>
    <t xml:space="preserve">262</t>
  </si>
  <si>
    <t xml:space="preserve">ESCOLA MUNICIPAL JOSE MOREIRA LEITAO</t>
  </si>
  <si>
    <t xml:space="preserve">RUA HONORINO MAIA, 467</t>
  </si>
  <si>
    <t xml:space="preserve">RUA HONORINO MAIA, 467, PARQUE SANTA MARIA, Fortaleza - CE, Brasil</t>
  </si>
  <si>
    <t xml:space="preserve">274</t>
  </si>
  <si>
    <t xml:space="preserve">ESCOLA MUNICIPAL MARIA DE LOURDES RIBEIRO JEREISSATI</t>
  </si>
  <si>
    <t xml:space="preserve">RUA REINO UNIDO, 115</t>
  </si>
  <si>
    <t xml:space="preserve">RUA REINO UNIDO, 115, JARDIM DAS OLIVEIRAS, Fortaleza - CE, Brasil</t>
  </si>
  <si>
    <t xml:space="preserve">174</t>
  </si>
  <si>
    <t xml:space="preserve">ESCOLA MUNICIPAL JOSE RAMOS TORRES DE MELO </t>
  </si>
  <si>
    <t xml:space="preserve">AV. DA ABOLIÇÃO, 3984</t>
  </si>
  <si>
    <t xml:space="preserve">A.S.4045-26</t>
  </si>
  <si>
    <t xml:space="preserve">AV. DA ABOLIÇÃO, 3984, MUCURIPE, Fortaleza - CE, Brasil</t>
  </si>
  <si>
    <t xml:space="preserve">354</t>
  </si>
  <si>
    <t xml:space="preserve">ESCOLA MUNICIPAL ADROALDO TEIXEIRA CASTELO EI/EF</t>
  </si>
  <si>
    <t xml:space="preserve">RUA ALAGOAS, 2267</t>
  </si>
  <si>
    <t xml:space="preserve">RUA ALAGOAS, 2267, PICI, Fortaleza - CE, Brasil</t>
  </si>
  <si>
    <t xml:space="preserve">165</t>
  </si>
  <si>
    <t xml:space="preserve">ESCOLA MUNICIPAL PROFESSOR FRANCISCO DE MELO JABORANDI</t>
  </si>
  <si>
    <t xml:space="preserve">AV. GOVERNADOR LEONEL BRIZOLA, 198</t>
  </si>
  <si>
    <t xml:space="preserve">AV. GOVERNADOR LEONEL BRIZOLA, 198, JANGURUSSU, Fortaleza - CE, Brasil</t>
  </si>
  <si>
    <t xml:space="preserve">313</t>
  </si>
  <si>
    <t xml:space="preserve">ESCOLA MUNICIPAL PROFESSOR FRANCISCO MAURICIO DE MATTOS DOURADO</t>
  </si>
  <si>
    <t xml:space="preserve">RUA DES. FLORIANO BENEVIDES MAGALHÃES, 391</t>
  </si>
  <si>
    <t xml:space="preserve">RUA DES. FLORIANO BENEVIDES MAGALHÃES, 391, EDSON QUEIROZ, Fortaleza - CE, Brasil</t>
  </si>
  <si>
    <t xml:space="preserve">153</t>
  </si>
  <si>
    <t xml:space="preserve">ESCOLA MUNICIPAL FRANCISCO SILVA CAVALCANTE </t>
  </si>
  <si>
    <t xml:space="preserve">AV. CONSELHEIRO LAFAYETTE, 205</t>
  </si>
  <si>
    <t xml:space="preserve">AV. CONSELHEIRO LAFAYETTE, 205, FLORESTA, Fortaleza - CE, Brasil</t>
  </si>
  <si>
    <t xml:space="preserve">175</t>
  </si>
  <si>
    <t xml:space="preserve">ESCOLA MUNICIPAL PROFESSORA BELARMINA CAMPOS</t>
  </si>
  <si>
    <t xml:space="preserve">RUA DOUTOR MANOEL RODRIQUES MONTEIRO, 840</t>
  </si>
  <si>
    <t xml:space="preserve">RUA DOUTOR MANOEL RODRIQUES MONTEIRO, 840, VICENTE PINZÓN, Fortaleza - CE, Brasil</t>
  </si>
  <si>
    <t xml:space="preserve">320</t>
  </si>
  <si>
    <t xml:space="preserve">ESCOLA MUNICIPAL MARIA HELENILCE CAVALCANTE LEITE MARTINS</t>
  </si>
  <si>
    <t xml:space="preserve">RUA MAÍZA, S/N</t>
  </si>
  <si>
    <t xml:space="preserve">A.S. 4021-26</t>
  </si>
  <si>
    <t xml:space="preserve">RUA MAÍZA, S/N, CONJUNTO PALMEIRAS, Fortaleza - CE, Brasil</t>
  </si>
  <si>
    <t xml:space="preserve">322</t>
  </si>
  <si>
    <t xml:space="preserve">ESCOLA MUNICIPAL ISMAEL PORDEUS </t>
  </si>
  <si>
    <t xml:space="preserve">AV. DES. FAUSTINO ALBUQUERQUE, 511</t>
  </si>
  <si>
    <t xml:space="preserve">AV. DES. FAUSTINO ALBUQUERQUE, 511, JARDIM DAS OLIVEIRAS, Fortaleza - CE, Brasil</t>
  </si>
  <si>
    <t xml:space="preserve">430</t>
  </si>
  <si>
    <t xml:space="preserve">ESCOLA MUNICIPAL TOMAZ MUNIZ</t>
  </si>
  <si>
    <t xml:space="preserve">RUA DOUTORA VANDA CIDADE, 185</t>
  </si>
  <si>
    <t xml:space="preserve">RUA DOUTORA VANDA CIDADE, 185, SIQUEIRA, Fortaleza - CE, Brasil</t>
  </si>
  <si>
    <t xml:space="preserve">297</t>
  </si>
  <si>
    <t xml:space="preserve">ESCOLA MUNICIPAL ANDRE LUIS</t>
  </si>
  <si>
    <t xml:space="preserve">AV. PRESIDENTE COSTA E SILVA, 5255</t>
  </si>
  <si>
    <t xml:space="preserve">AV. PRESIDENTE COSTA E SILVA, 5255, PASSARÉ, Fortaleza - CE, Brasil</t>
  </si>
  <si>
    <t xml:space="preserve">1183</t>
  </si>
  <si>
    <t xml:space="preserve">ESCOLA MUNICIPAL VIVIAN MARIA GUEDES DA SILVA</t>
  </si>
  <si>
    <t xml:space="preserve">AVENIDA CONTORNO SUL, S/N</t>
  </si>
  <si>
    <t xml:space="preserve">AVENIDA CONTORNO SUL, S/N, SÃO BENTO, Fortaleza - CE, Brasil</t>
  </si>
  <si>
    <t xml:space="preserve">SALAS CLIMATIZÁVEIS</t>
  </si>
  <si>
    <t xml:space="preserve">SALAS FORA</t>
  </si>
  <si>
    <t xml:space="preserve">NECESSITA SUBESTAÇÃO</t>
  </si>
  <si>
    <t xml:space="preserve">ESTÁGIO DO REPASSE</t>
  </si>
  <si>
    <t xml:space="preserve">DATA VISITA</t>
  </si>
  <si>
    <t xml:space="preserve">DATA ESTUDO (ED)</t>
  </si>
  <si>
    <t xml:space="preserve">DATA REPASSE (LUCCAS)</t>
  </si>
  <si>
    <t xml:space="preserve">DATA O.S. ELÉTRICA</t>
  </si>
  <si>
    <t xml:space="preserve">RESPONSÁVEL</t>
  </si>
  <si>
    <t xml:space="preserve">OBSERVAÇÃO</t>
  </si>
  <si>
    <t xml:space="preserve">ED</t>
  </si>
  <si>
    <t xml:space="preserve">Nº O.S.</t>
  </si>
  <si>
    <t xml:space="preserve">VALOR</t>
  </si>
  <si>
    <t xml:space="preserve">PRIORIDADE</t>
  </si>
  <si>
    <t xml:space="preserve">ESTÁGIO</t>
  </si>
  <si>
    <t xml:space="preserve">DATA ÚLTIMO MOVIMENTO</t>
  </si>
  <si>
    <t xml:space="preserve">DIAS NESTE ESTÁGIO</t>
  </si>
  <si>
    <t xml:space="preserve">LINK ORÇAMENTO</t>
  </si>
  <si>
    <t xml:space="preserve">CIVIL</t>
  </si>
  <si>
    <t xml:space="preserve">ROQUE</t>
  </si>
  <si>
    <t xml:space="preserve">ELÉTRICA</t>
  </si>
  <si>
    <t xml:space="preserve">LUCCAS</t>
  </si>
  <si>
    <t xml:space="preserve">AR 12K</t>
  </si>
  <si>
    <t xml:space="preserve">AR 18K</t>
  </si>
  <si>
    <t xml:space="preserve">AR 24K</t>
  </si>
  <si>
    <t xml:space="preserve">AR 36K</t>
  </si>
  <si>
    <t xml:space="preserve">AR 48K</t>
  </si>
  <si>
    <t xml:space="preserve">TOTAL MÁQUINAS</t>
  </si>
  <si>
    <t xml:space="preserve">VALOR MÁQUINAS</t>
  </si>
  <si>
    <t xml:space="preserve">VALOR SERV. CIVIL</t>
  </si>
  <si>
    <t xml:space="preserve">VALOR SERV. ELÉTRICA</t>
  </si>
  <si>
    <t xml:space="preserve">VALOR SERV. INSTALAÇÃO</t>
  </si>
  <si>
    <t xml:space="preserve">VALOR TOTAL GASTO</t>
  </si>
  <si>
    <t xml:space="preserve">STATUS CIVIS</t>
  </si>
  <si>
    <t xml:space="preserve">STATUS ELÉTRICAS</t>
  </si>
  <si>
    <t xml:space="preserve">STATUS INSTALAÇÃO</t>
  </si>
  <si>
    <t xml:space="preserve">EQUIPE</t>
  </si>
  <si>
    <t xml:space="preserve">INÍCIO</t>
  </si>
  <si>
    <t xml:space="preserve">FIM</t>
  </si>
  <si>
    <t xml:space="preserve">CONCLUÍDO</t>
  </si>
  <si>
    <t xml:space="preserve">ESF</t>
  </si>
  <si>
    <t xml:space="preserve">DIFERENCIAL</t>
  </si>
  <si>
    <t xml:space="preserve">MASTER</t>
  </si>
  <si>
    <t xml:space="preserve">CETUS</t>
  </si>
  <si>
    <t xml:space="preserve">Á INICIAR</t>
  </si>
  <si>
    <t xml:space="preserve">ESCOLA</t>
  </si>
  <si>
    <t xml:space="preserve">SEINF</t>
  </si>
  <si>
    <t xml:space="preserve">EM ANDAMENTO</t>
  </si>
  <si>
    <t xml:space="preserve">ESCOLA MUNICIPAL OTAVIO DE FARIAS</t>
  </si>
  <si>
    <t xml:space="preserve">ESCOLA MUNICIPAL HERONDINA LIMA CAVALCANTE</t>
  </si>
  <si>
    <t xml:space="preserve">ESCOLA MUNICIPAL FREI LAURO SCHWARTE</t>
  </si>
  <si>
    <t xml:space="preserve">ESCOLA MUNICIPAL SAO JOSE</t>
  </si>
  <si>
    <t xml:space="preserve">ESCOLA MUNICIPAL NILSON HOLANDA</t>
  </si>
  <si>
    <t xml:space="preserve">ESCOLA MUNICIPAL HONORIO BEZERRA</t>
  </si>
  <si>
    <t xml:space="preserve">2</t>
  </si>
  <si>
    <t xml:space="preserve">1</t>
  </si>
  <si>
    <t xml:space="preserve">19</t>
  </si>
  <si>
    <t xml:space="preserve">18</t>
  </si>
  <si>
    <t xml:space="preserve">ESCOLA MUNICIPAL PROFESSORA MARIA JOSE MACARIO COELHO</t>
  </si>
  <si>
    <t xml:space="preserve">ESCOLA MUNICIPAL DE TEMPO INTEGRAL DELMA HERMINIA DA SILVA PEREIRA</t>
  </si>
  <si>
    <t xml:space="preserve">ESCOLA MUNICIPAL RAIMUNDO SOARES DE SOUZA</t>
  </si>
  <si>
    <t xml:space="preserve">9</t>
  </si>
  <si>
    <t xml:space="preserve">ESCOLA MUNICIPAL JOSE ALCIDES PINTO</t>
  </si>
  <si>
    <t xml:space="preserve">ESCOLA MUNICIPAL DE TEMPO INTEGRAL MARIA DO SOCORRO ALVES CARNEIRO</t>
  </si>
  <si>
    <t xml:space="preserve">ESCOLA MUNICIPAL DE TEMPO INTEGRAL DOM ANTONIO DE ALMEIDA LUSTOSA</t>
  </si>
  <si>
    <t xml:space="preserve">ESCOLA MUNICIPAL CONCEICAO MOURAO</t>
  </si>
  <si>
    <t xml:space="preserve">13</t>
  </si>
  <si>
    <t xml:space="preserve">4</t>
  </si>
  <si>
    <t xml:space="preserve">ESCOLA MUNICIPAL DE TEMPO INTEGRAL JOSE CARVALHO</t>
  </si>
  <si>
    <t xml:space="preserve">ESCOLA MUNICIPAL VEREADOR JOSE BARROS DE ALENCAR</t>
  </si>
  <si>
    <t xml:space="preserve">ESCOLA MUNICIPAL DEMOCRITO ROCHA</t>
  </si>
  <si>
    <t xml:space="preserve">20</t>
  </si>
  <si>
    <t xml:space="preserve">ESCOLA MUNICIPAL FRANCISCO DOMINGOS DA SILVA</t>
  </si>
  <si>
    <t xml:space="preserve">ESCOLA MUNICIPAL FRANCISCO SILVA CAVALCANTE</t>
  </si>
  <si>
    <t xml:space="preserve">ESCOLA MUNICIPAL DE TEMPO INTEGRAL PROFESSOR ALVARO COSTA</t>
  </si>
  <si>
    <t xml:space="preserve">ESCOLA MUNICIPAL PADRE ARIMATEIA DINIZ</t>
  </si>
  <si>
    <t xml:space="preserve">ESCOLA MUNICIPAL MARIETA GUEDES MARTINS</t>
  </si>
  <si>
    <t xml:space="preserve">ESCOLA MUNICIPAL DE TEMPO INTEGRAL NOSSA SENHORA DE FATIMA</t>
  </si>
  <si>
    <t xml:space="preserve">ESCOLA MUNICIPAL DE TEMPO INTEGRAL CAROLINO SUCUPIRA</t>
  </si>
  <si>
    <t xml:space="preserve">ESCOLA MUNICIPAL DE TEMPO INTEGRAL DIOGO VITAL DE SIQUEIRA</t>
  </si>
  <si>
    <t xml:space="preserve">ESCOLA MUNICIPAL PROFESSORA IRENE DE SOUZA PEREIRA</t>
  </si>
  <si>
    <t xml:space="preserve">ESCOLA MUNICIPAL DOUTOR SERVULO MENDES BARROSO</t>
  </si>
  <si>
    <t xml:space="preserve">RADIOGRAFIA DO PARQUE (512 unidades, exclui CRP e CAEE)</t>
  </si>
  <si>
    <t xml:space="preserve">INDICADOR</t>
  </si>
  <si>
    <t xml:space="preserve">Total de unidades</t>
  </si>
  <si>
    <t xml:space="preserve">Climatizadas (9)</t>
  </si>
  <si>
    <t xml:space="preserve">Climatizadas parcial (10)</t>
  </si>
  <si>
    <t xml:space="preserve">A iniciar (0)</t>
  </si>
  <si>
    <t xml:space="preserve">Com subestação (SIM)</t>
  </si>
  <si>
    <t xml:space="preserve">Sem subestação (represa)</t>
  </si>
  <si>
    <t xml:space="preserve">Com dados de execução</t>
  </si>
  <si>
    <t xml:space="preserve">Endereços prontos p/ geocodificar</t>
  </si>
  <si>
    <t xml:space="preserve">Escolas já geocodificadas (LAT preenchido)</t>
  </si>
  <si>
    <t xml:space="preserve">O.S. já registradas (A.S. existentes)</t>
  </si>
  <si>
    <t xml:space="preserve">Investimento total registrado (execução)</t>
  </si>
  <si>
    <t xml:space="preserve">STATUS_GERAL</t>
  </si>
  <si>
    <t xml:space="preserve">SIM_NAO</t>
  </si>
  <si>
    <t xml:space="preserve">REPASSE</t>
  </si>
  <si>
    <t xml:space="preserve">TIPO_OS</t>
  </si>
  <si>
    <t xml:space="preserve">RESP</t>
  </si>
  <si>
    <t xml:space="preserve">PRIOR</t>
  </si>
  <si>
    <t xml:space="preserve">EST_OS</t>
  </si>
  <si>
    <t xml:space="preserve">1. VISITADO</t>
  </si>
  <si>
    <t xml:space="preserve">NORMAL</t>
  </si>
  <si>
    <t xml:space="preserve">1. GERADA</t>
  </si>
  <si>
    <t xml:space="preserve">2. ESTUDO ELÉTRICO CONCLUÍDO (ED)</t>
  </si>
  <si>
    <t xml:space="preserve">ALTA</t>
  </si>
  <si>
    <t xml:space="preserve">2. AGUARDANDO GIZELLY</t>
  </si>
  <si>
    <t xml:space="preserve">3. REPASSADO AO LUCCAS</t>
  </si>
  <si>
    <t xml:space="preserve">URGENTE</t>
  </si>
  <si>
    <t xml:space="preserve">3. ENVIADA AO SECRETÁRIO</t>
  </si>
  <si>
    <t xml:space="preserve">4. O.S. ELÉTRICA GERADA</t>
  </si>
  <si>
    <t xml:space="preserve">4. ASSINADA</t>
  </si>
  <si>
    <t xml:space="preserve">5. EM EXECUÇÃO</t>
  </si>
  <si>
    <t xml:space="preserve">6. CONCLUÍDA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</si>
</sst>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.00"/>
    <numFmt numFmtId="166" formatCode="dd/mm/yyyy"/>
    <numFmt numFmtId="167" formatCode="0"/>
    <numFmt numFmtId="168" formatCode="yyyy\-mm\-dd\ h:mm:ss"/>
    <numFmt numFmtId="169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3" t="s">
        <v>2</v>
      </c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/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3" t="s">
        <v>10</v>
      </c>
    </row>
    <row r="16" customFormat="false" ht="15" hidden="false" customHeight="true" outlineLevel="0" collapsed="false">
      <c r="A16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38"/>
    <col collapsed="false" customWidth="true" hidden="false" outlineLevel="0" max="4" min="4" style="1" width="34"/>
    <col collapsed="false" customWidth="true" hidden="false" outlineLevel="0" max="5" min="5" style="1" width="20"/>
    <col collapsed="false" customWidth="true" hidden="false" outlineLevel="0" max="6" min="6" style="1" width="11"/>
    <col collapsed="false" customWidth="true" hidden="false" outlineLevel="0" max="8" min="7" style="1" width="9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26"/>
    <col collapsed="false" customWidth="true" hidden="false" outlineLevel="0" max="17" min="15" style="1" width="16"/>
    <col collapsed="false" customWidth="true" hidden="false" outlineLevel="0" max="20" min="18" style="1" width="13"/>
    <col collapsed="false" customWidth="true" hidden="false" outlineLevel="0" max="21" min="21" style="1" width="46"/>
    <col collapsed="false" customWidth="true" hidden="false" outlineLevel="0" max="23" min="22" style="1" width="11"/>
  </cols>
  <sheetData>
    <row r="1" customFormat="false" ht="34.5" hidden="false" customHeight="tru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4" t="s">
        <v>32</v>
      </c>
      <c r="V1" s="4" t="s">
        <v>33</v>
      </c>
      <c r="W1" s="4" t="s">
        <v>34</v>
      </c>
    </row>
    <row r="2" customFormat="false" ht="23.25" hidden="false" customHeight="true" outlineLevel="0" collapsed="false">
      <c r="A2" s="5" t="s">
        <v>35</v>
      </c>
      <c r="B2" s="5" t="s">
        <v>36</v>
      </c>
      <c r="C2" s="5" t="s">
        <v>37</v>
      </c>
      <c r="D2" s="5" t="s">
        <v>38</v>
      </c>
      <c r="E2" s="5" t="s">
        <v>39</v>
      </c>
      <c r="F2" s="5" t="n">
        <v>9</v>
      </c>
      <c r="G2" s="5" t="s">
        <v>40</v>
      </c>
      <c r="H2" s="5" t="n">
        <v>1</v>
      </c>
      <c r="I2" s="5" t="n">
        <v>5</v>
      </c>
      <c r="J2" s="5" t="s">
        <v>41</v>
      </c>
      <c r="K2" s="5" t="n">
        <v>4</v>
      </c>
      <c r="L2" s="5" t="s">
        <v>42</v>
      </c>
      <c r="M2" s="5"/>
      <c r="N2" s="5" t="s">
        <v>43</v>
      </c>
      <c r="O2" s="5"/>
      <c r="P2" s="5"/>
      <c r="Q2" s="6" t="n">
        <v>0</v>
      </c>
      <c r="R2" s="5"/>
      <c r="S2" s="5"/>
      <c r="T2" s="5" t="s">
        <v>44</v>
      </c>
      <c r="U2" s="5" t="s">
        <v>45</v>
      </c>
      <c r="V2" s="5" t="n">
        <v>-3.713386</v>
      </c>
      <c r="W2" s="5" t="n">
        <v>-38.554497</v>
      </c>
    </row>
    <row r="3" customFormat="false" ht="23.25" hidden="false" customHeight="true" outlineLevel="0" collapsed="false">
      <c r="A3" s="5" t="s">
        <v>46</v>
      </c>
      <c r="B3" s="5" t="s">
        <v>36</v>
      </c>
      <c r="C3" s="5" t="s">
        <v>47</v>
      </c>
      <c r="D3" s="5" t="s">
        <v>48</v>
      </c>
      <c r="E3" s="5" t="s">
        <v>49</v>
      </c>
      <c r="F3" s="5" t="n">
        <v>18</v>
      </c>
      <c r="G3" s="5" t="s">
        <v>40</v>
      </c>
      <c r="H3" s="5" t="n">
        <v>1</v>
      </c>
      <c r="I3" s="5" t="n">
        <v>5</v>
      </c>
      <c r="J3" s="5"/>
      <c r="K3" s="5" t="n">
        <v>3</v>
      </c>
      <c r="L3" s="5" t="s">
        <v>42</v>
      </c>
      <c r="M3" s="5"/>
      <c r="N3" s="5" t="s">
        <v>43</v>
      </c>
      <c r="O3" s="5"/>
      <c r="P3" s="5"/>
      <c r="Q3" s="6" t="n">
        <v>0</v>
      </c>
      <c r="R3" s="5"/>
      <c r="S3" s="5"/>
      <c r="T3" s="5" t="s">
        <v>42</v>
      </c>
      <c r="U3" s="5" t="s">
        <v>50</v>
      </c>
      <c r="V3" s="5" t="n">
        <v>-3.718986</v>
      </c>
      <c r="W3" s="5" t="n">
        <v>-38.54702</v>
      </c>
    </row>
    <row r="4" customFormat="false" ht="23.25" hidden="false" customHeight="true" outlineLevel="0" collapsed="false">
      <c r="A4" s="5" t="s">
        <v>51</v>
      </c>
      <c r="B4" s="5" t="s">
        <v>52</v>
      </c>
      <c r="C4" s="5" t="s">
        <v>53</v>
      </c>
      <c r="D4" s="5" t="s">
        <v>54</v>
      </c>
      <c r="E4" s="5" t="s">
        <v>55</v>
      </c>
      <c r="F4" s="5" t="n">
        <v>70</v>
      </c>
      <c r="G4" s="5" t="s">
        <v>56</v>
      </c>
      <c r="H4" s="5" t="n">
        <v>7</v>
      </c>
      <c r="I4" s="5" t="n">
        <v>25</v>
      </c>
      <c r="J4" s="5" t="s">
        <v>57</v>
      </c>
      <c r="K4" s="5" t="n">
        <v>9</v>
      </c>
      <c r="L4" s="5" t="s">
        <v>42</v>
      </c>
      <c r="M4" s="5"/>
      <c r="N4" s="5" t="s">
        <v>58</v>
      </c>
      <c r="O4" s="5"/>
      <c r="P4" s="5"/>
      <c r="Q4" s="5"/>
      <c r="R4" s="5"/>
      <c r="S4" s="5"/>
      <c r="T4" s="5" t="s">
        <v>44</v>
      </c>
      <c r="U4" s="5" t="s">
        <v>59</v>
      </c>
      <c r="V4" s="5" t="n">
        <v>-3.800559</v>
      </c>
      <c r="W4" s="5" t="n">
        <v>-38.44971</v>
      </c>
    </row>
    <row r="5" customFormat="false" ht="34.5" hidden="false" customHeight="true" outlineLevel="0" collapsed="false">
      <c r="A5" s="5" t="s">
        <v>60</v>
      </c>
      <c r="B5" s="5" t="s">
        <v>36</v>
      </c>
      <c r="C5" s="5" t="s">
        <v>61</v>
      </c>
      <c r="D5" s="5" t="s">
        <v>62</v>
      </c>
      <c r="E5" s="5" t="s">
        <v>63</v>
      </c>
      <c r="F5" s="5" t="n">
        <v>121</v>
      </c>
      <c r="G5" s="5" t="s">
        <v>64</v>
      </c>
      <c r="H5" s="5" t="n">
        <v>10</v>
      </c>
      <c r="I5" s="5" t="n">
        <v>34</v>
      </c>
      <c r="J5" s="5" t="s">
        <v>65</v>
      </c>
      <c r="K5" s="5" t="n">
        <v>4</v>
      </c>
      <c r="L5" s="5" t="s">
        <v>42</v>
      </c>
      <c r="M5" s="5"/>
      <c r="N5" s="5" t="s">
        <v>43</v>
      </c>
      <c r="O5" s="5"/>
      <c r="P5" s="5"/>
      <c r="Q5" s="6" t="n">
        <v>0</v>
      </c>
      <c r="R5" s="5"/>
      <c r="S5" s="5"/>
      <c r="T5" s="5" t="s">
        <v>42</v>
      </c>
      <c r="U5" s="5" t="s">
        <v>66</v>
      </c>
      <c r="V5" s="5" t="n">
        <v>-3.808954</v>
      </c>
      <c r="W5" s="5" t="n">
        <v>-38.587679</v>
      </c>
    </row>
    <row r="6" customFormat="false" ht="34.5" hidden="false" customHeight="true" outlineLevel="0" collapsed="false">
      <c r="A6" s="5" t="s">
        <v>67</v>
      </c>
      <c r="B6" s="5" t="s">
        <v>36</v>
      </c>
      <c r="C6" s="5" t="s">
        <v>68</v>
      </c>
      <c r="D6" s="5" t="s">
        <v>69</v>
      </c>
      <c r="E6" s="5" t="s">
        <v>70</v>
      </c>
      <c r="F6" s="5" t="n">
        <v>89</v>
      </c>
      <c r="G6" s="5" t="s">
        <v>71</v>
      </c>
      <c r="H6" s="5" t="n">
        <v>8</v>
      </c>
      <c r="I6" s="5" t="n">
        <v>21</v>
      </c>
      <c r="J6" s="5" t="s">
        <v>65</v>
      </c>
      <c r="K6" s="5" t="n">
        <v>4</v>
      </c>
      <c r="L6" s="5" t="s">
        <v>42</v>
      </c>
      <c r="M6" s="5"/>
      <c r="N6" s="5" t="s">
        <v>43</v>
      </c>
      <c r="O6" s="5"/>
      <c r="P6" s="5"/>
      <c r="Q6" s="6" t="n">
        <v>0</v>
      </c>
      <c r="R6" s="5"/>
      <c r="S6" s="5"/>
      <c r="T6" s="5" t="s">
        <v>42</v>
      </c>
      <c r="U6" s="5" t="s">
        <v>72</v>
      </c>
      <c r="V6" s="5" t="n">
        <v>-3.838117</v>
      </c>
      <c r="W6" s="5" t="n">
        <v>-38.558172</v>
      </c>
    </row>
    <row r="7" customFormat="false" ht="34.5" hidden="false" customHeight="true" outlineLevel="0" collapsed="false">
      <c r="A7" s="5" t="s">
        <v>73</v>
      </c>
      <c r="B7" s="5" t="s">
        <v>36</v>
      </c>
      <c r="C7" s="5" t="s">
        <v>74</v>
      </c>
      <c r="D7" s="5" t="s">
        <v>75</v>
      </c>
      <c r="E7" s="5" t="s">
        <v>76</v>
      </c>
      <c r="F7" s="5" t="n">
        <v>80</v>
      </c>
      <c r="G7" s="5" t="s">
        <v>64</v>
      </c>
      <c r="H7" s="5" t="n">
        <v>10</v>
      </c>
      <c r="I7" s="5" t="n">
        <v>35</v>
      </c>
      <c r="J7" s="5" t="s">
        <v>65</v>
      </c>
      <c r="K7" s="5" t="n">
        <v>4</v>
      </c>
      <c r="L7" s="5" t="s">
        <v>42</v>
      </c>
      <c r="M7" s="5"/>
      <c r="N7" s="5" t="s">
        <v>43</v>
      </c>
      <c r="O7" s="5"/>
      <c r="P7" s="5"/>
      <c r="Q7" s="6" t="n">
        <v>0</v>
      </c>
      <c r="R7" s="5"/>
      <c r="S7" s="5"/>
      <c r="T7" s="5" t="s">
        <v>42</v>
      </c>
      <c r="U7" s="5" t="s">
        <v>77</v>
      </c>
      <c r="V7" s="5" t="n">
        <v>-3.799274</v>
      </c>
      <c r="W7" s="5" t="n">
        <v>-38.562127</v>
      </c>
    </row>
    <row r="8" customFormat="false" ht="34.5" hidden="false" customHeight="true" outlineLevel="0" collapsed="false">
      <c r="A8" s="5" t="s">
        <v>78</v>
      </c>
      <c r="B8" s="5" t="s">
        <v>36</v>
      </c>
      <c r="C8" s="5" t="s">
        <v>79</v>
      </c>
      <c r="D8" s="5" t="s">
        <v>80</v>
      </c>
      <c r="E8" s="5" t="s">
        <v>81</v>
      </c>
      <c r="F8" s="5" t="n">
        <v>78</v>
      </c>
      <c r="G8" s="5" t="s">
        <v>64</v>
      </c>
      <c r="H8" s="5" t="n">
        <v>5</v>
      </c>
      <c r="I8" s="5" t="n">
        <v>39</v>
      </c>
      <c r="J8" s="5" t="s">
        <v>65</v>
      </c>
      <c r="K8" s="5" t="n">
        <v>4</v>
      </c>
      <c r="L8" s="5" t="s">
        <v>42</v>
      </c>
      <c r="M8" s="5"/>
      <c r="N8" s="5" t="s">
        <v>43</v>
      </c>
      <c r="O8" s="5"/>
      <c r="P8" s="5"/>
      <c r="Q8" s="6" t="n">
        <v>0</v>
      </c>
      <c r="R8" s="5"/>
      <c r="S8" s="5"/>
      <c r="T8" s="5" t="s">
        <v>42</v>
      </c>
      <c r="U8" s="5" t="s">
        <v>82</v>
      </c>
      <c r="V8" s="5" t="n">
        <v>-3.790799</v>
      </c>
      <c r="W8" s="5" t="n">
        <v>-38.618999</v>
      </c>
    </row>
    <row r="9" customFormat="false" ht="34.5" hidden="false" customHeight="true" outlineLevel="0" collapsed="false">
      <c r="A9" s="5" t="s">
        <v>83</v>
      </c>
      <c r="B9" s="5" t="s">
        <v>36</v>
      </c>
      <c r="C9" s="5" t="s">
        <v>84</v>
      </c>
      <c r="D9" s="5" t="s">
        <v>85</v>
      </c>
      <c r="E9" s="5" t="s">
        <v>81</v>
      </c>
      <c r="F9" s="5" t="n">
        <v>78</v>
      </c>
      <c r="G9" s="5" t="s">
        <v>64</v>
      </c>
      <c r="H9" s="5" t="n">
        <v>5</v>
      </c>
      <c r="I9" s="5" t="n">
        <v>39</v>
      </c>
      <c r="J9" s="5" t="s">
        <v>65</v>
      </c>
      <c r="K9" s="5" t="n">
        <v>4</v>
      </c>
      <c r="L9" s="5" t="s">
        <v>42</v>
      </c>
      <c r="M9" s="5"/>
      <c r="N9" s="5" t="s">
        <v>43</v>
      </c>
      <c r="O9" s="5"/>
      <c r="P9" s="5"/>
      <c r="Q9" s="6" t="n">
        <v>0</v>
      </c>
      <c r="R9" s="5"/>
      <c r="S9" s="5"/>
      <c r="T9" s="5" t="s">
        <v>42</v>
      </c>
      <c r="U9" s="5" t="s">
        <v>86</v>
      </c>
      <c r="V9" s="5" t="n">
        <v>-3.792902</v>
      </c>
      <c r="W9" s="5" t="n">
        <v>-38.62517</v>
      </c>
    </row>
    <row r="10" customFormat="false" ht="34.5" hidden="false" customHeight="true" outlineLevel="0" collapsed="false">
      <c r="A10" s="5" t="s">
        <v>87</v>
      </c>
      <c r="B10" s="5" t="s">
        <v>36</v>
      </c>
      <c r="C10" s="5" t="s">
        <v>88</v>
      </c>
      <c r="D10" s="5" t="s">
        <v>89</v>
      </c>
      <c r="E10" s="5" t="s">
        <v>90</v>
      </c>
      <c r="F10" s="5" t="n">
        <v>114</v>
      </c>
      <c r="G10" s="5" t="s">
        <v>56</v>
      </c>
      <c r="H10" s="5" t="n">
        <v>7</v>
      </c>
      <c r="I10" s="5" t="n">
        <v>22</v>
      </c>
      <c r="J10" s="5" t="s">
        <v>65</v>
      </c>
      <c r="K10" s="5" t="n">
        <v>4</v>
      </c>
      <c r="L10" s="5" t="s">
        <v>42</v>
      </c>
      <c r="M10" s="5"/>
      <c r="N10" s="5" t="s">
        <v>43</v>
      </c>
      <c r="O10" s="5"/>
      <c r="P10" s="5"/>
      <c r="Q10" s="6" t="n">
        <v>0</v>
      </c>
      <c r="R10" s="5"/>
      <c r="S10" s="5"/>
      <c r="T10" s="5" t="s">
        <v>42</v>
      </c>
      <c r="U10" s="5" t="s">
        <v>91</v>
      </c>
      <c r="V10" s="5" t="n">
        <v>-3.764955</v>
      </c>
      <c r="W10" s="5" t="n">
        <v>-38.440217</v>
      </c>
    </row>
    <row r="11" customFormat="false" ht="34.5" hidden="false" customHeight="true" outlineLevel="0" collapsed="false">
      <c r="A11" s="5" t="s">
        <v>92</v>
      </c>
      <c r="B11" s="5" t="s">
        <v>36</v>
      </c>
      <c r="C11" s="5" t="s">
        <v>93</v>
      </c>
      <c r="D11" s="5" t="s">
        <v>94</v>
      </c>
      <c r="E11" s="5" t="s">
        <v>95</v>
      </c>
      <c r="F11" s="5" t="n">
        <v>97</v>
      </c>
      <c r="G11" s="5" t="s">
        <v>96</v>
      </c>
      <c r="H11" s="5" t="n">
        <v>11</v>
      </c>
      <c r="I11" s="5" t="n">
        <v>36</v>
      </c>
      <c r="J11" s="5" t="s">
        <v>65</v>
      </c>
      <c r="K11" s="5" t="n">
        <v>4</v>
      </c>
      <c r="L11" s="5" t="s">
        <v>44</v>
      </c>
      <c r="M11" s="5" t="s">
        <v>97</v>
      </c>
      <c r="N11" s="5" t="s">
        <v>43</v>
      </c>
      <c r="O11" s="5"/>
      <c r="P11" s="5"/>
      <c r="Q11" s="6" t="n">
        <v>0</v>
      </c>
      <c r="R11" s="5"/>
      <c r="S11" s="5"/>
      <c r="T11" s="5" t="s">
        <v>42</v>
      </c>
      <c r="U11" s="5" t="s">
        <v>98</v>
      </c>
      <c r="V11" s="5" t="n">
        <v>-3.764402</v>
      </c>
      <c r="W11" s="5" t="n">
        <v>-38.563139</v>
      </c>
    </row>
    <row r="12" customFormat="false" ht="34.5" hidden="false" customHeight="true" outlineLevel="0" collapsed="false">
      <c r="A12" s="5" t="s">
        <v>99</v>
      </c>
      <c r="B12" s="5" t="s">
        <v>36</v>
      </c>
      <c r="C12" s="5" t="s">
        <v>100</v>
      </c>
      <c r="D12" s="5" t="s">
        <v>101</v>
      </c>
      <c r="E12" s="5" t="s">
        <v>102</v>
      </c>
      <c r="F12" s="5" t="n">
        <v>48</v>
      </c>
      <c r="G12" s="5" t="s">
        <v>96</v>
      </c>
      <c r="H12" s="5" t="n">
        <v>3</v>
      </c>
      <c r="I12" s="5" t="n">
        <v>11</v>
      </c>
      <c r="J12" s="5" t="s">
        <v>65</v>
      </c>
      <c r="K12" s="5" t="n">
        <v>4</v>
      </c>
      <c r="L12" s="5" t="s">
        <v>42</v>
      </c>
      <c r="M12" s="5"/>
      <c r="N12" s="5" t="s">
        <v>43</v>
      </c>
      <c r="O12" s="5"/>
      <c r="P12" s="5"/>
      <c r="Q12" s="6" t="n">
        <v>0</v>
      </c>
      <c r="R12" s="5"/>
      <c r="S12" s="5"/>
      <c r="T12" s="5" t="s">
        <v>42</v>
      </c>
      <c r="U12" s="5" t="s">
        <v>103</v>
      </c>
      <c r="V12" s="5" t="n">
        <v>-3.737453</v>
      </c>
      <c r="W12" s="5" t="n">
        <v>-38.598841</v>
      </c>
    </row>
    <row r="13" customFormat="false" ht="34.5" hidden="false" customHeight="true" outlineLevel="0" collapsed="false">
      <c r="A13" s="5" t="s">
        <v>104</v>
      </c>
      <c r="B13" s="5" t="s">
        <v>36</v>
      </c>
      <c r="C13" s="5" t="s">
        <v>105</v>
      </c>
      <c r="D13" s="5" t="s">
        <v>106</v>
      </c>
      <c r="E13" s="5" t="s">
        <v>107</v>
      </c>
      <c r="F13" s="5" t="n">
        <v>115</v>
      </c>
      <c r="G13" s="5" t="s">
        <v>71</v>
      </c>
      <c r="H13" s="5" t="n">
        <v>8</v>
      </c>
      <c r="I13" s="5" t="n">
        <v>21</v>
      </c>
      <c r="J13" s="5" t="s">
        <v>65</v>
      </c>
      <c r="K13" s="5" t="n">
        <v>4</v>
      </c>
      <c r="L13" s="5" t="s">
        <v>42</v>
      </c>
      <c r="M13" s="5"/>
      <c r="N13" s="5" t="s">
        <v>43</v>
      </c>
      <c r="O13" s="5"/>
      <c r="P13" s="5"/>
      <c r="Q13" s="6" t="n">
        <v>0</v>
      </c>
      <c r="R13" s="5"/>
      <c r="S13" s="5"/>
      <c r="T13" s="5" t="s">
        <v>42</v>
      </c>
      <c r="U13" s="5" t="s">
        <v>108</v>
      </c>
      <c r="V13" s="5" t="n">
        <v>-3.831197</v>
      </c>
      <c r="W13" s="5" t="n">
        <v>-38.570365</v>
      </c>
    </row>
    <row r="14" customFormat="false" ht="34.5" hidden="false" customHeight="true" outlineLevel="0" collapsed="false">
      <c r="A14" s="5" t="s">
        <v>109</v>
      </c>
      <c r="B14" s="5" t="s">
        <v>36</v>
      </c>
      <c r="C14" s="5" t="s">
        <v>110</v>
      </c>
      <c r="D14" s="5" t="s">
        <v>111</v>
      </c>
      <c r="E14" s="5" t="s">
        <v>112</v>
      </c>
      <c r="F14" s="5" t="n">
        <v>88</v>
      </c>
      <c r="G14" s="5" t="s">
        <v>71</v>
      </c>
      <c r="H14" s="5" t="n">
        <v>8</v>
      </c>
      <c r="I14" s="5" t="n">
        <v>20</v>
      </c>
      <c r="J14" s="5" t="s">
        <v>65</v>
      </c>
      <c r="K14" s="5" t="n">
        <v>4</v>
      </c>
      <c r="L14" s="5" t="s">
        <v>42</v>
      </c>
      <c r="M14" s="5"/>
      <c r="N14" s="5" t="s">
        <v>43</v>
      </c>
      <c r="O14" s="5"/>
      <c r="P14" s="5"/>
      <c r="Q14" s="6" t="n">
        <v>0</v>
      </c>
      <c r="R14" s="5"/>
      <c r="S14" s="5"/>
      <c r="T14" s="5" t="s">
        <v>42</v>
      </c>
      <c r="U14" s="5" t="s">
        <v>113</v>
      </c>
      <c r="V14" s="5" t="n">
        <v>-3.814541</v>
      </c>
      <c r="W14" s="5" t="n">
        <v>-38.523522</v>
      </c>
    </row>
    <row r="15" customFormat="false" ht="34.5" hidden="false" customHeight="true" outlineLevel="0" collapsed="false">
      <c r="A15" s="5" t="s">
        <v>114</v>
      </c>
      <c r="B15" s="5" t="s">
        <v>36</v>
      </c>
      <c r="C15" s="5" t="s">
        <v>115</v>
      </c>
      <c r="D15" s="5" t="s">
        <v>116</v>
      </c>
      <c r="E15" s="5" t="s">
        <v>63</v>
      </c>
      <c r="F15" s="5" t="n">
        <v>121</v>
      </c>
      <c r="G15" s="5" t="s">
        <v>64</v>
      </c>
      <c r="H15" s="5" t="n">
        <v>10</v>
      </c>
      <c r="I15" s="5" t="n">
        <v>34</v>
      </c>
      <c r="J15" s="5" t="s">
        <v>65</v>
      </c>
      <c r="K15" s="5" t="n">
        <v>4</v>
      </c>
      <c r="L15" s="5" t="s">
        <v>42</v>
      </c>
      <c r="M15" s="5"/>
      <c r="N15" s="5" t="s">
        <v>43</v>
      </c>
      <c r="O15" s="5"/>
      <c r="P15" s="5"/>
      <c r="Q15" s="6" t="n">
        <v>0</v>
      </c>
      <c r="R15" s="5"/>
      <c r="S15" s="5"/>
      <c r="T15" s="5" t="s">
        <v>42</v>
      </c>
      <c r="U15" s="5" t="s">
        <v>117</v>
      </c>
      <c r="V15" s="5" t="n">
        <v>-3.803541</v>
      </c>
      <c r="W15" s="5" t="n">
        <v>-38.585469</v>
      </c>
    </row>
    <row r="16" customFormat="false" ht="34.5" hidden="false" customHeight="true" outlineLevel="0" collapsed="false">
      <c r="A16" s="5" t="s">
        <v>118</v>
      </c>
      <c r="B16" s="5" t="s">
        <v>36</v>
      </c>
      <c r="C16" s="5" t="s">
        <v>119</v>
      </c>
      <c r="D16" s="5" t="s">
        <v>120</v>
      </c>
      <c r="E16" s="5" t="s">
        <v>121</v>
      </c>
      <c r="F16" s="5" t="n">
        <v>12</v>
      </c>
      <c r="G16" s="5" t="s">
        <v>40</v>
      </c>
      <c r="H16" s="5" t="n">
        <v>1</v>
      </c>
      <c r="I16" s="5" t="n">
        <v>4</v>
      </c>
      <c r="J16" s="5" t="s">
        <v>65</v>
      </c>
      <c r="K16" s="5" t="n">
        <v>4</v>
      </c>
      <c r="L16" s="5" t="s">
        <v>42</v>
      </c>
      <c r="M16" s="5"/>
      <c r="N16" s="5" t="s">
        <v>43</v>
      </c>
      <c r="O16" s="5"/>
      <c r="P16" s="5"/>
      <c r="Q16" s="6" t="n">
        <v>0</v>
      </c>
      <c r="R16" s="5"/>
      <c r="S16" s="5"/>
      <c r="T16" s="5" t="s">
        <v>42</v>
      </c>
      <c r="U16" s="5" t="s">
        <v>122</v>
      </c>
      <c r="V16" s="5" t="n">
        <v>-3.70541</v>
      </c>
      <c r="W16" s="5" t="n">
        <v>-38.563573</v>
      </c>
    </row>
    <row r="17" customFormat="false" ht="34.5" hidden="false" customHeight="true" outlineLevel="0" collapsed="false">
      <c r="A17" s="5" t="s">
        <v>123</v>
      </c>
      <c r="B17" s="5" t="s">
        <v>36</v>
      </c>
      <c r="C17" s="5" t="s">
        <v>124</v>
      </c>
      <c r="D17" s="5" t="s">
        <v>125</v>
      </c>
      <c r="E17" s="5" t="s">
        <v>126</v>
      </c>
      <c r="F17" s="5" t="n">
        <v>77</v>
      </c>
      <c r="G17" s="5" t="s">
        <v>71</v>
      </c>
      <c r="H17" s="5" t="n">
        <v>8</v>
      </c>
      <c r="I17" s="5" t="n">
        <v>19</v>
      </c>
      <c r="J17" s="5" t="s">
        <v>65</v>
      </c>
      <c r="K17" s="5" t="n">
        <v>4</v>
      </c>
      <c r="L17" s="5" t="s">
        <v>42</v>
      </c>
      <c r="M17" s="5"/>
      <c r="N17" s="5" t="s">
        <v>43</v>
      </c>
      <c r="O17" s="5"/>
      <c r="P17" s="5"/>
      <c r="Q17" s="6" t="n">
        <v>0</v>
      </c>
      <c r="R17" s="5"/>
      <c r="S17" s="5"/>
      <c r="T17" s="5" t="s">
        <v>42</v>
      </c>
      <c r="U17" s="5" t="s">
        <v>127</v>
      </c>
      <c r="V17" s="5" t="n">
        <v>-3.794198</v>
      </c>
      <c r="W17" s="5" t="n">
        <v>-38.553844</v>
      </c>
    </row>
    <row r="18" customFormat="false" ht="34.5" hidden="false" customHeight="true" outlineLevel="0" collapsed="false">
      <c r="A18" s="5" t="s">
        <v>128</v>
      </c>
      <c r="B18" s="5" t="s">
        <v>36</v>
      </c>
      <c r="C18" s="5" t="s">
        <v>129</v>
      </c>
      <c r="D18" s="5" t="s">
        <v>130</v>
      </c>
      <c r="E18" s="5" t="s">
        <v>131</v>
      </c>
      <c r="F18" s="5" t="n">
        <v>95</v>
      </c>
      <c r="G18" s="5" t="s">
        <v>71</v>
      </c>
      <c r="H18" s="5" t="n">
        <v>8</v>
      </c>
      <c r="I18" s="5" t="n">
        <v>20</v>
      </c>
      <c r="J18" s="5" t="s">
        <v>65</v>
      </c>
      <c r="K18" s="5" t="n">
        <v>4</v>
      </c>
      <c r="L18" s="5" t="s">
        <v>42</v>
      </c>
      <c r="M18" s="5"/>
      <c r="N18" s="5" t="s">
        <v>43</v>
      </c>
      <c r="O18" s="5"/>
      <c r="P18" s="5"/>
      <c r="Q18" s="6" t="n">
        <v>0</v>
      </c>
      <c r="R18" s="5"/>
      <c r="S18" s="5"/>
      <c r="T18" s="5" t="s">
        <v>42</v>
      </c>
      <c r="U18" s="5" t="s">
        <v>132</v>
      </c>
      <c r="V18" s="5" t="n">
        <v>-3.800876</v>
      </c>
      <c r="W18" s="5" t="n">
        <v>-38.518016</v>
      </c>
    </row>
    <row r="19" customFormat="false" ht="34.5" hidden="false" customHeight="true" outlineLevel="0" collapsed="false">
      <c r="A19" s="5" t="s">
        <v>133</v>
      </c>
      <c r="B19" s="5" t="s">
        <v>36</v>
      </c>
      <c r="C19" s="5" t="s">
        <v>134</v>
      </c>
      <c r="D19" s="5" t="s">
        <v>135</v>
      </c>
      <c r="E19" s="5" t="s">
        <v>136</v>
      </c>
      <c r="F19" s="5" t="n">
        <v>109</v>
      </c>
      <c r="G19" s="5" t="s">
        <v>71</v>
      </c>
      <c r="H19" s="5" t="n">
        <v>4</v>
      </c>
      <c r="I19" s="5" t="n">
        <v>18</v>
      </c>
      <c r="J19" s="5" t="s">
        <v>65</v>
      </c>
      <c r="K19" s="5" t="n">
        <v>4</v>
      </c>
      <c r="L19" s="5" t="s">
        <v>42</v>
      </c>
      <c r="M19" s="5"/>
      <c r="N19" s="5" t="s">
        <v>43</v>
      </c>
      <c r="O19" s="5"/>
      <c r="P19" s="5"/>
      <c r="Q19" s="6" t="n">
        <v>0</v>
      </c>
      <c r="R19" s="5"/>
      <c r="S19" s="5"/>
      <c r="T19" s="5" t="s">
        <v>42</v>
      </c>
      <c r="U19" s="5" t="s">
        <v>137</v>
      </c>
      <c r="V19" s="5" t="n">
        <v>-3.763354</v>
      </c>
      <c r="W19" s="5" t="n">
        <v>-38.534471</v>
      </c>
    </row>
    <row r="20" customFormat="false" ht="34.5" hidden="false" customHeight="true" outlineLevel="0" collapsed="false">
      <c r="A20" s="5" t="s">
        <v>138</v>
      </c>
      <c r="B20" s="5" t="s">
        <v>36</v>
      </c>
      <c r="C20" s="5" t="s">
        <v>139</v>
      </c>
      <c r="D20" s="5" t="s">
        <v>140</v>
      </c>
      <c r="E20" s="5" t="s">
        <v>141</v>
      </c>
      <c r="F20" s="5" t="n">
        <v>104</v>
      </c>
      <c r="G20" s="5" t="s">
        <v>96</v>
      </c>
      <c r="H20" s="5" t="n">
        <v>11</v>
      </c>
      <c r="I20" s="5" t="n">
        <v>36</v>
      </c>
      <c r="J20" s="5" t="s">
        <v>65</v>
      </c>
      <c r="K20" s="5" t="n">
        <v>4</v>
      </c>
      <c r="L20" s="5" t="s">
        <v>42</v>
      </c>
      <c r="M20" s="5"/>
      <c r="N20" s="5" t="s">
        <v>43</v>
      </c>
      <c r="O20" s="5"/>
      <c r="P20" s="5"/>
      <c r="Q20" s="6" t="n">
        <v>0</v>
      </c>
      <c r="R20" s="5"/>
      <c r="S20" s="5"/>
      <c r="T20" s="5" t="s">
        <v>42</v>
      </c>
      <c r="U20" s="5" t="s">
        <v>142</v>
      </c>
      <c r="V20" s="5" t="n">
        <v>-3.757481</v>
      </c>
      <c r="W20" s="5" t="n">
        <v>-38.565738</v>
      </c>
    </row>
    <row r="21" customFormat="false" ht="34.5" hidden="false" customHeight="true" outlineLevel="0" collapsed="false">
      <c r="A21" s="5" t="s">
        <v>143</v>
      </c>
      <c r="B21" s="5" t="s">
        <v>36</v>
      </c>
      <c r="C21" s="5" t="s">
        <v>144</v>
      </c>
      <c r="D21" s="5" t="s">
        <v>145</v>
      </c>
      <c r="E21" s="5" t="s">
        <v>146</v>
      </c>
      <c r="F21" s="5" t="n">
        <v>103</v>
      </c>
      <c r="G21" s="5" t="s">
        <v>71</v>
      </c>
      <c r="H21" s="5" t="n">
        <v>4</v>
      </c>
      <c r="I21" s="5" t="n">
        <v>16</v>
      </c>
      <c r="J21" s="5" t="s">
        <v>65</v>
      </c>
      <c r="K21" s="5" t="n">
        <v>4</v>
      </c>
      <c r="L21" s="5" t="s">
        <v>42</v>
      </c>
      <c r="M21" s="5"/>
      <c r="N21" s="5" t="s">
        <v>43</v>
      </c>
      <c r="O21" s="5"/>
      <c r="P21" s="5"/>
      <c r="Q21" s="6" t="n">
        <v>0</v>
      </c>
      <c r="R21" s="5"/>
      <c r="S21" s="5"/>
      <c r="T21" s="5" t="s">
        <v>42</v>
      </c>
      <c r="U21" s="5" t="s">
        <v>147</v>
      </c>
      <c r="V21" s="5" t="n">
        <v>-3.761867</v>
      </c>
      <c r="W21" s="5" t="n">
        <v>-38.554918</v>
      </c>
    </row>
    <row r="22" customFormat="false" ht="34.5" hidden="false" customHeight="true" outlineLevel="0" collapsed="false">
      <c r="A22" s="5" t="s">
        <v>148</v>
      </c>
      <c r="B22" s="5" t="s">
        <v>36</v>
      </c>
      <c r="C22" s="5" t="s">
        <v>149</v>
      </c>
      <c r="D22" s="5" t="s">
        <v>150</v>
      </c>
      <c r="E22" s="5" t="s">
        <v>151</v>
      </c>
      <c r="F22" s="5" t="n">
        <v>35</v>
      </c>
      <c r="G22" s="5" t="s">
        <v>56</v>
      </c>
      <c r="H22" s="5" t="n">
        <v>2</v>
      </c>
      <c r="I22" s="5" t="n">
        <v>10</v>
      </c>
      <c r="J22" s="5" t="s">
        <v>65</v>
      </c>
      <c r="K22" s="5" t="n">
        <v>4</v>
      </c>
      <c r="L22" s="5" t="s">
        <v>42</v>
      </c>
      <c r="M22" s="5"/>
      <c r="N22" s="5" t="s">
        <v>43</v>
      </c>
      <c r="O22" s="5"/>
      <c r="P22" s="5"/>
      <c r="Q22" s="6" t="n">
        <v>0</v>
      </c>
      <c r="R22" s="5"/>
      <c r="S22" s="5"/>
      <c r="T22" s="5" t="s">
        <v>42</v>
      </c>
      <c r="U22" s="5" t="s">
        <v>152</v>
      </c>
      <c r="V22" s="5" t="n">
        <v>-3.756015</v>
      </c>
      <c r="W22" s="5" t="n">
        <v>-38.506608</v>
      </c>
    </row>
    <row r="23" customFormat="false" ht="34.5" hidden="false" customHeight="true" outlineLevel="0" collapsed="false">
      <c r="A23" s="5" t="s">
        <v>153</v>
      </c>
      <c r="B23" s="5" t="s">
        <v>36</v>
      </c>
      <c r="C23" s="5" t="s">
        <v>154</v>
      </c>
      <c r="D23" s="5" t="s">
        <v>155</v>
      </c>
      <c r="E23" s="5" t="s">
        <v>156</v>
      </c>
      <c r="F23" s="5" t="n">
        <v>6</v>
      </c>
      <c r="G23" s="5" t="s">
        <v>40</v>
      </c>
      <c r="H23" s="5" t="n">
        <v>1</v>
      </c>
      <c r="I23" s="5" t="n">
        <v>3</v>
      </c>
      <c r="J23" s="5" t="s">
        <v>65</v>
      </c>
      <c r="K23" s="5" t="n">
        <v>4</v>
      </c>
      <c r="L23" s="5" t="s">
        <v>42</v>
      </c>
      <c r="M23" s="5"/>
      <c r="N23" s="5" t="s">
        <v>43</v>
      </c>
      <c r="O23" s="5"/>
      <c r="P23" s="5"/>
      <c r="Q23" s="6" t="n">
        <v>0</v>
      </c>
      <c r="R23" s="5"/>
      <c r="S23" s="5"/>
      <c r="T23" s="5" t="s">
        <v>42</v>
      </c>
      <c r="U23" s="5" t="s">
        <v>157</v>
      </c>
      <c r="V23" s="5" t="n">
        <v>-3.709538</v>
      </c>
      <c r="W23" s="5" t="n">
        <v>-38.582291</v>
      </c>
    </row>
    <row r="24" customFormat="false" ht="34.5" hidden="false" customHeight="true" outlineLevel="0" collapsed="false">
      <c r="A24" s="5" t="s">
        <v>158</v>
      </c>
      <c r="B24" s="5" t="s">
        <v>36</v>
      </c>
      <c r="C24" s="5" t="s">
        <v>159</v>
      </c>
      <c r="D24" s="5" t="s">
        <v>160</v>
      </c>
      <c r="E24" s="5" t="s">
        <v>161</v>
      </c>
      <c r="F24" s="5" t="n">
        <v>79</v>
      </c>
      <c r="G24" s="5" t="s">
        <v>64</v>
      </c>
      <c r="H24" s="5" t="n">
        <v>5</v>
      </c>
      <c r="I24" s="5" t="n">
        <v>39</v>
      </c>
      <c r="J24" s="5" t="s">
        <v>65</v>
      </c>
      <c r="K24" s="5" t="n">
        <v>4</v>
      </c>
      <c r="L24" s="5" t="s">
        <v>42</v>
      </c>
      <c r="M24" s="5"/>
      <c r="N24" s="5" t="s">
        <v>43</v>
      </c>
      <c r="O24" s="5"/>
      <c r="P24" s="5"/>
      <c r="Q24" s="6" t="n">
        <v>0</v>
      </c>
      <c r="R24" s="5"/>
      <c r="S24" s="5"/>
      <c r="T24" s="5" t="s">
        <v>42</v>
      </c>
      <c r="U24" s="5" t="s">
        <v>162</v>
      </c>
      <c r="V24" s="5" t="n">
        <v>-3.781879</v>
      </c>
      <c r="W24" s="5" t="n">
        <v>-38.602251</v>
      </c>
    </row>
    <row r="25" customFormat="false" ht="34.5" hidden="false" customHeight="true" outlineLevel="0" collapsed="false">
      <c r="A25" s="5" t="s">
        <v>163</v>
      </c>
      <c r="B25" s="5" t="s">
        <v>36</v>
      </c>
      <c r="C25" s="5" t="s">
        <v>164</v>
      </c>
      <c r="D25" s="5" t="s">
        <v>165</v>
      </c>
      <c r="E25" s="5" t="s">
        <v>166</v>
      </c>
      <c r="F25" s="5" t="n">
        <v>84</v>
      </c>
      <c r="G25" s="5" t="s">
        <v>71</v>
      </c>
      <c r="H25" s="5" t="n">
        <v>8</v>
      </c>
      <c r="I25" s="5" t="n">
        <v>20</v>
      </c>
      <c r="J25" s="5" t="s">
        <v>65</v>
      </c>
      <c r="K25" s="5" t="n">
        <v>4</v>
      </c>
      <c r="L25" s="5" t="s">
        <v>42</v>
      </c>
      <c r="M25" s="5"/>
      <c r="N25" s="5" t="s">
        <v>43</v>
      </c>
      <c r="O25" s="5"/>
      <c r="P25" s="5"/>
      <c r="Q25" s="6" t="n">
        <v>0</v>
      </c>
      <c r="R25" s="5"/>
      <c r="S25" s="5"/>
      <c r="T25" s="5" t="s">
        <v>42</v>
      </c>
      <c r="U25" s="5" t="s">
        <v>167</v>
      </c>
      <c r="V25" s="5" t="n">
        <v>-3.799248</v>
      </c>
      <c r="W25" s="5" t="n">
        <v>-38.5468</v>
      </c>
    </row>
    <row r="26" customFormat="false" ht="34.5" hidden="false" customHeight="true" outlineLevel="0" collapsed="false">
      <c r="A26" s="5" t="s">
        <v>168</v>
      </c>
      <c r="B26" s="5" t="s">
        <v>36</v>
      </c>
      <c r="C26" s="5" t="s">
        <v>169</v>
      </c>
      <c r="D26" s="5" t="s">
        <v>170</v>
      </c>
      <c r="E26" s="5" t="s">
        <v>171</v>
      </c>
      <c r="F26" s="5" t="n">
        <v>83</v>
      </c>
      <c r="G26" s="5" t="s">
        <v>64</v>
      </c>
      <c r="H26" s="5" t="n">
        <v>10</v>
      </c>
      <c r="I26" s="5" t="n">
        <v>35</v>
      </c>
      <c r="J26" s="5" t="s">
        <v>65</v>
      </c>
      <c r="K26" s="5" t="n">
        <v>4</v>
      </c>
      <c r="L26" s="5" t="s">
        <v>42</v>
      </c>
      <c r="M26" s="5"/>
      <c r="N26" s="5" t="s">
        <v>43</v>
      </c>
      <c r="O26" s="5"/>
      <c r="P26" s="5"/>
      <c r="Q26" s="6" t="n">
        <v>0</v>
      </c>
      <c r="R26" s="5"/>
      <c r="S26" s="5"/>
      <c r="T26" s="5" t="s">
        <v>42</v>
      </c>
      <c r="U26" s="5" t="s">
        <v>172</v>
      </c>
      <c r="V26" s="5" t="n">
        <v>-3.82567</v>
      </c>
      <c r="W26" s="5" t="n">
        <v>-38.581063</v>
      </c>
    </row>
    <row r="27" customFormat="false" ht="34.5" hidden="false" customHeight="true" outlineLevel="0" collapsed="false">
      <c r="A27" s="5" t="s">
        <v>173</v>
      </c>
      <c r="B27" s="5" t="s">
        <v>36</v>
      </c>
      <c r="C27" s="5" t="s">
        <v>174</v>
      </c>
      <c r="D27" s="5" t="s">
        <v>175</v>
      </c>
      <c r="E27" s="5" t="s">
        <v>81</v>
      </c>
      <c r="F27" s="5" t="n">
        <v>78</v>
      </c>
      <c r="G27" s="5" t="s">
        <v>64</v>
      </c>
      <c r="H27" s="5" t="n">
        <v>5</v>
      </c>
      <c r="I27" s="5" t="n">
        <v>39</v>
      </c>
      <c r="J27" s="5" t="s">
        <v>65</v>
      </c>
      <c r="K27" s="5" t="n">
        <v>4</v>
      </c>
      <c r="L27" s="5" t="s">
        <v>42</v>
      </c>
      <c r="M27" s="5"/>
      <c r="N27" s="5" t="s">
        <v>43</v>
      </c>
      <c r="O27" s="5"/>
      <c r="P27" s="5"/>
      <c r="Q27" s="6" t="n">
        <v>0</v>
      </c>
      <c r="R27" s="5"/>
      <c r="S27" s="5"/>
      <c r="T27" s="5" t="s">
        <v>42</v>
      </c>
      <c r="U27" s="5" t="s">
        <v>176</v>
      </c>
      <c r="V27" s="5" t="n">
        <v>-3.789197</v>
      </c>
      <c r="W27" s="5" t="n">
        <v>-38.629868</v>
      </c>
    </row>
    <row r="28" customFormat="false" ht="34.5" hidden="false" customHeight="true" outlineLevel="0" collapsed="false">
      <c r="A28" s="5" t="s">
        <v>177</v>
      </c>
      <c r="B28" s="5" t="s">
        <v>36</v>
      </c>
      <c r="C28" s="5" t="s">
        <v>178</v>
      </c>
      <c r="D28" s="5" t="s">
        <v>179</v>
      </c>
      <c r="E28" s="5" t="s">
        <v>180</v>
      </c>
      <c r="F28" s="5" t="n">
        <v>17</v>
      </c>
      <c r="G28" s="5" t="s">
        <v>40</v>
      </c>
      <c r="H28" s="5" t="n">
        <v>1</v>
      </c>
      <c r="I28" s="5" t="n">
        <v>6</v>
      </c>
      <c r="J28" s="5" t="s">
        <v>65</v>
      </c>
      <c r="K28" s="5" t="n">
        <v>4</v>
      </c>
      <c r="L28" s="5" t="s">
        <v>42</v>
      </c>
      <c r="M28" s="5"/>
      <c r="N28" s="5" t="s">
        <v>43</v>
      </c>
      <c r="O28" s="5"/>
      <c r="P28" s="5"/>
      <c r="Q28" s="6" t="n">
        <v>0</v>
      </c>
      <c r="R28" s="5"/>
      <c r="S28" s="5"/>
      <c r="T28" s="5" t="s">
        <v>42</v>
      </c>
      <c r="U28" s="5" t="s">
        <v>181</v>
      </c>
      <c r="V28" s="5" t="n">
        <v>-3.725356</v>
      </c>
      <c r="W28" s="5" t="n">
        <v>-38.572991</v>
      </c>
    </row>
    <row r="29" customFormat="false" ht="34.5" hidden="false" customHeight="true" outlineLevel="0" collapsed="false">
      <c r="A29" s="5" t="s">
        <v>182</v>
      </c>
      <c r="B29" s="5" t="s">
        <v>36</v>
      </c>
      <c r="C29" s="5" t="s">
        <v>183</v>
      </c>
      <c r="D29" s="5" t="s">
        <v>184</v>
      </c>
      <c r="E29" s="5" t="s">
        <v>185</v>
      </c>
      <c r="F29" s="5" t="n">
        <v>25</v>
      </c>
      <c r="G29" s="5" t="s">
        <v>96</v>
      </c>
      <c r="H29" s="5" t="n">
        <v>3</v>
      </c>
      <c r="I29" s="5" t="n">
        <v>13</v>
      </c>
      <c r="J29" s="5" t="s">
        <v>65</v>
      </c>
      <c r="K29" s="5" t="n">
        <v>4</v>
      </c>
      <c r="L29" s="5" t="s">
        <v>42</v>
      </c>
      <c r="M29" s="5"/>
      <c r="N29" s="5" t="s">
        <v>43</v>
      </c>
      <c r="O29" s="5"/>
      <c r="P29" s="5"/>
      <c r="Q29" s="6" t="n">
        <v>0</v>
      </c>
      <c r="R29" s="5"/>
      <c r="S29" s="5"/>
      <c r="T29" s="5" t="s">
        <v>42</v>
      </c>
      <c r="U29" s="5" t="s">
        <v>186</v>
      </c>
      <c r="V29" s="5" t="n">
        <v>-3.722707</v>
      </c>
      <c r="W29" s="5" t="n">
        <v>-38.557239</v>
      </c>
    </row>
    <row r="30" customFormat="false" ht="34.5" hidden="false" customHeight="true" outlineLevel="0" collapsed="false">
      <c r="A30" s="5" t="s">
        <v>187</v>
      </c>
      <c r="B30" s="5" t="s">
        <v>36</v>
      </c>
      <c r="C30" s="5" t="s">
        <v>188</v>
      </c>
      <c r="D30" s="5" t="s">
        <v>189</v>
      </c>
      <c r="E30" s="5" t="s">
        <v>190</v>
      </c>
      <c r="F30" s="5" t="n">
        <v>57</v>
      </c>
      <c r="G30" s="5" t="s">
        <v>56</v>
      </c>
      <c r="H30" s="5" t="n">
        <v>7</v>
      </c>
      <c r="I30" s="5" t="n">
        <v>25</v>
      </c>
      <c r="J30" s="5" t="s">
        <v>65</v>
      </c>
      <c r="K30" s="5" t="n">
        <v>4</v>
      </c>
      <c r="L30" s="5" t="s">
        <v>42</v>
      </c>
      <c r="M30" s="5"/>
      <c r="N30" s="5" t="s">
        <v>43</v>
      </c>
      <c r="O30" s="5"/>
      <c r="P30" s="5"/>
      <c r="Q30" s="6" t="n">
        <v>0</v>
      </c>
      <c r="R30" s="5"/>
      <c r="S30" s="5"/>
      <c r="T30" s="5" t="s">
        <v>42</v>
      </c>
      <c r="U30" s="5" t="s">
        <v>191</v>
      </c>
      <c r="V30" s="5" t="n">
        <v>-3.772013</v>
      </c>
      <c r="W30" s="5" t="n">
        <v>-38.479501</v>
      </c>
    </row>
    <row r="31" customFormat="false" ht="34.5" hidden="false" customHeight="true" outlineLevel="0" collapsed="false">
      <c r="A31" s="5" t="s">
        <v>192</v>
      </c>
      <c r="B31" s="5" t="s">
        <v>36</v>
      </c>
      <c r="C31" s="5" t="s">
        <v>193</v>
      </c>
      <c r="D31" s="5" t="s">
        <v>194</v>
      </c>
      <c r="E31" s="5" t="s">
        <v>121</v>
      </c>
      <c r="F31" s="5" t="n">
        <v>12</v>
      </c>
      <c r="G31" s="5" t="s">
        <v>40</v>
      </c>
      <c r="H31" s="5" t="n">
        <v>1</v>
      </c>
      <c r="I31" s="5" t="n">
        <v>4</v>
      </c>
      <c r="J31" s="5" t="s">
        <v>65</v>
      </c>
      <c r="K31" s="5" t="n">
        <v>4</v>
      </c>
      <c r="L31" s="5" t="s">
        <v>42</v>
      </c>
      <c r="M31" s="5"/>
      <c r="N31" s="5" t="s">
        <v>43</v>
      </c>
      <c r="O31" s="5"/>
      <c r="P31" s="5"/>
      <c r="Q31" s="6" t="n">
        <v>0</v>
      </c>
      <c r="R31" s="5"/>
      <c r="S31" s="5"/>
      <c r="T31" s="5" t="s">
        <v>42</v>
      </c>
      <c r="U31" s="5" t="s">
        <v>195</v>
      </c>
      <c r="V31" s="5" t="n">
        <v>-3.71085</v>
      </c>
      <c r="W31" s="5" t="n">
        <v>-38.567494</v>
      </c>
    </row>
    <row r="32" customFormat="false" ht="34.5" hidden="false" customHeight="true" outlineLevel="0" collapsed="false">
      <c r="A32" s="5" t="s">
        <v>196</v>
      </c>
      <c r="B32" s="5" t="s">
        <v>36</v>
      </c>
      <c r="C32" s="5" t="s">
        <v>197</v>
      </c>
      <c r="D32" s="5" t="s">
        <v>198</v>
      </c>
      <c r="E32" s="5" t="s">
        <v>199</v>
      </c>
      <c r="F32" s="5" t="n">
        <v>39</v>
      </c>
      <c r="G32" s="5" t="s">
        <v>40</v>
      </c>
      <c r="H32" s="5" t="n">
        <v>1</v>
      </c>
      <c r="I32" s="5" t="n">
        <v>2</v>
      </c>
      <c r="J32" s="5" t="s">
        <v>65</v>
      </c>
      <c r="K32" s="5" t="n">
        <v>4</v>
      </c>
      <c r="L32" s="5" t="s">
        <v>42</v>
      </c>
      <c r="M32" s="5"/>
      <c r="N32" s="5" t="s">
        <v>43</v>
      </c>
      <c r="O32" s="5"/>
      <c r="P32" s="5"/>
      <c r="Q32" s="6" t="n">
        <v>0</v>
      </c>
      <c r="R32" s="5"/>
      <c r="S32" s="5"/>
      <c r="T32" s="5" t="s">
        <v>42</v>
      </c>
      <c r="U32" s="5" t="s">
        <v>200</v>
      </c>
      <c r="V32" s="5" t="n">
        <v>-3.720008</v>
      </c>
      <c r="W32" s="5" t="n">
        <v>-38.606297</v>
      </c>
    </row>
    <row r="33" customFormat="false" ht="34.5" hidden="false" customHeight="true" outlineLevel="0" collapsed="false">
      <c r="A33" s="5" t="s">
        <v>201</v>
      </c>
      <c r="B33" s="5" t="s">
        <v>36</v>
      </c>
      <c r="C33" s="5" t="s">
        <v>202</v>
      </c>
      <c r="D33" s="5" t="s">
        <v>203</v>
      </c>
      <c r="E33" s="5" t="s">
        <v>204</v>
      </c>
      <c r="F33" s="5" t="n">
        <v>40</v>
      </c>
      <c r="G33" s="5" t="s">
        <v>96</v>
      </c>
      <c r="H33" s="5" t="n">
        <v>3</v>
      </c>
      <c r="I33" s="5" t="n">
        <v>11</v>
      </c>
      <c r="J33" s="5" t="s">
        <v>65</v>
      </c>
      <c r="K33" s="5" t="n">
        <v>4</v>
      </c>
      <c r="L33" s="5" t="s">
        <v>42</v>
      </c>
      <c r="M33" s="5"/>
      <c r="N33" s="5" t="s">
        <v>43</v>
      </c>
      <c r="O33" s="5"/>
      <c r="P33" s="5"/>
      <c r="Q33" s="6" t="n">
        <v>0</v>
      </c>
      <c r="R33" s="5"/>
      <c r="S33" s="5"/>
      <c r="T33" s="5" t="s">
        <v>42</v>
      </c>
      <c r="U33" s="5" t="s">
        <v>205</v>
      </c>
      <c r="V33" s="5" t="n">
        <v>-3.738674</v>
      </c>
      <c r="W33" s="5" t="n">
        <v>-38.595788</v>
      </c>
    </row>
    <row r="34" customFormat="false" ht="34.5" hidden="false" customHeight="true" outlineLevel="0" collapsed="false">
      <c r="A34" s="5" t="s">
        <v>206</v>
      </c>
      <c r="B34" s="5" t="s">
        <v>36</v>
      </c>
      <c r="C34" s="5" t="s">
        <v>207</v>
      </c>
      <c r="D34" s="5" t="s">
        <v>208</v>
      </c>
      <c r="E34" s="5" t="s">
        <v>171</v>
      </c>
      <c r="F34" s="5" t="n">
        <v>83</v>
      </c>
      <c r="G34" s="5" t="s">
        <v>64</v>
      </c>
      <c r="H34" s="5" t="n">
        <v>10</v>
      </c>
      <c r="I34" s="5" t="n">
        <v>35</v>
      </c>
      <c r="J34" s="5" t="s">
        <v>65</v>
      </c>
      <c r="K34" s="5" t="n">
        <v>4</v>
      </c>
      <c r="L34" s="5" t="s">
        <v>42</v>
      </c>
      <c r="M34" s="5"/>
      <c r="N34" s="5" t="s">
        <v>43</v>
      </c>
      <c r="O34" s="5"/>
      <c r="P34" s="5"/>
      <c r="Q34" s="6" t="n">
        <v>0</v>
      </c>
      <c r="R34" s="5"/>
      <c r="S34" s="5"/>
      <c r="T34" s="5" t="s">
        <v>42</v>
      </c>
      <c r="U34" s="5" t="s">
        <v>209</v>
      </c>
      <c r="V34" s="5" t="n">
        <v>-3.817595</v>
      </c>
      <c r="W34" s="5" t="n">
        <v>-38.569756</v>
      </c>
    </row>
    <row r="35" customFormat="false" ht="34.5" hidden="false" customHeight="true" outlineLevel="0" collapsed="false">
      <c r="A35" s="5" t="s">
        <v>210</v>
      </c>
      <c r="B35" s="5" t="s">
        <v>36</v>
      </c>
      <c r="C35" s="5" t="s">
        <v>211</v>
      </c>
      <c r="D35" s="5" t="s">
        <v>212</v>
      </c>
      <c r="E35" s="5" t="s">
        <v>213</v>
      </c>
      <c r="F35" s="5" t="n">
        <v>100</v>
      </c>
      <c r="G35" s="5" t="s">
        <v>71</v>
      </c>
      <c r="H35" s="5" t="n">
        <v>8</v>
      </c>
      <c r="I35" s="5" t="n">
        <v>19</v>
      </c>
      <c r="J35" s="5" t="s">
        <v>65</v>
      </c>
      <c r="K35" s="5" t="n">
        <v>4</v>
      </c>
      <c r="L35" s="5" t="s">
        <v>42</v>
      </c>
      <c r="M35" s="5"/>
      <c r="N35" s="5" t="s">
        <v>43</v>
      </c>
      <c r="O35" s="5"/>
      <c r="P35" s="5"/>
      <c r="Q35" s="6" t="n">
        <v>0</v>
      </c>
      <c r="R35" s="5"/>
      <c r="S35" s="5"/>
      <c r="T35" s="5" t="s">
        <v>42</v>
      </c>
      <c r="U35" s="5" t="s">
        <v>214</v>
      </c>
      <c r="V35" s="5" t="n">
        <v>-3.792099</v>
      </c>
      <c r="W35" s="5" t="n">
        <v>-38.537916</v>
      </c>
    </row>
    <row r="36" customFormat="false" ht="34.5" hidden="false" customHeight="true" outlineLevel="0" collapsed="false">
      <c r="A36" s="5" t="s">
        <v>215</v>
      </c>
      <c r="B36" s="5" t="s">
        <v>36</v>
      </c>
      <c r="C36" s="5" t="s">
        <v>216</v>
      </c>
      <c r="D36" s="5" t="s">
        <v>217</v>
      </c>
      <c r="E36" s="5" t="s">
        <v>218</v>
      </c>
      <c r="F36" s="5" t="n">
        <v>107</v>
      </c>
      <c r="G36" s="5" t="s">
        <v>71</v>
      </c>
      <c r="H36" s="5" t="n">
        <v>8</v>
      </c>
      <c r="I36" s="5" t="n">
        <v>19</v>
      </c>
      <c r="J36" s="5" t="s">
        <v>65</v>
      </c>
      <c r="K36" s="5" t="n">
        <v>4</v>
      </c>
      <c r="L36" s="5" t="s">
        <v>42</v>
      </c>
      <c r="M36" s="5"/>
      <c r="N36" s="5" t="s">
        <v>43</v>
      </c>
      <c r="O36" s="5"/>
      <c r="P36" s="5"/>
      <c r="Q36" s="6" t="n">
        <v>0</v>
      </c>
      <c r="R36" s="5"/>
      <c r="S36" s="5"/>
      <c r="T36" s="5" t="s">
        <v>42</v>
      </c>
      <c r="U36" s="5" t="s">
        <v>219</v>
      </c>
      <c r="V36" s="5" t="n">
        <v>-3.782699</v>
      </c>
      <c r="W36" s="5" t="n">
        <v>-38.542618</v>
      </c>
    </row>
    <row r="37" customFormat="false" ht="34.5" hidden="false" customHeight="true" outlineLevel="0" collapsed="false">
      <c r="A37" s="5" t="s">
        <v>220</v>
      </c>
      <c r="B37" s="5" t="s">
        <v>36</v>
      </c>
      <c r="C37" s="5" t="s">
        <v>221</v>
      </c>
      <c r="D37" s="5" t="s">
        <v>222</v>
      </c>
      <c r="E37" s="5" t="s">
        <v>81</v>
      </c>
      <c r="F37" s="5" t="n">
        <v>78</v>
      </c>
      <c r="G37" s="5" t="s">
        <v>64</v>
      </c>
      <c r="H37" s="5" t="n">
        <v>5</v>
      </c>
      <c r="I37" s="5" t="n">
        <v>39</v>
      </c>
      <c r="J37" s="5" t="s">
        <v>65</v>
      </c>
      <c r="K37" s="5" t="n">
        <v>4</v>
      </c>
      <c r="L37" s="5" t="s">
        <v>42</v>
      </c>
      <c r="M37" s="5"/>
      <c r="N37" s="5" t="s">
        <v>43</v>
      </c>
      <c r="O37" s="5"/>
      <c r="P37" s="5"/>
      <c r="Q37" s="6" t="n">
        <v>0</v>
      </c>
      <c r="R37" s="5"/>
      <c r="S37" s="5"/>
      <c r="T37" s="5" t="s">
        <v>42</v>
      </c>
      <c r="U37" s="5" t="s">
        <v>223</v>
      </c>
      <c r="V37" s="5" t="n">
        <v>-3.784358</v>
      </c>
      <c r="W37" s="5" t="n">
        <v>-38.627182</v>
      </c>
    </row>
    <row r="38" customFormat="false" ht="34.5" hidden="false" customHeight="true" outlineLevel="0" collapsed="false">
      <c r="A38" s="5" t="s">
        <v>224</v>
      </c>
      <c r="B38" s="5" t="s">
        <v>36</v>
      </c>
      <c r="C38" s="5" t="s">
        <v>225</v>
      </c>
      <c r="D38" s="5" t="s">
        <v>226</v>
      </c>
      <c r="E38" s="5" t="s">
        <v>171</v>
      </c>
      <c r="F38" s="5" t="n">
        <v>83</v>
      </c>
      <c r="G38" s="5" t="s">
        <v>64</v>
      </c>
      <c r="H38" s="5" t="n">
        <v>10</v>
      </c>
      <c r="I38" s="5" t="n">
        <v>35</v>
      </c>
      <c r="J38" s="5" t="s">
        <v>65</v>
      </c>
      <c r="K38" s="5" t="n">
        <v>4</v>
      </c>
      <c r="L38" s="5" t="s">
        <v>42</v>
      </c>
      <c r="M38" s="5"/>
      <c r="N38" s="5" t="s">
        <v>43</v>
      </c>
      <c r="O38" s="5"/>
      <c r="P38" s="5"/>
      <c r="Q38" s="6" t="n">
        <v>0</v>
      </c>
      <c r="R38" s="5"/>
      <c r="S38" s="5"/>
      <c r="T38" s="5" t="s">
        <v>42</v>
      </c>
      <c r="U38" s="5" t="s">
        <v>227</v>
      </c>
      <c r="V38" s="5" t="n">
        <v>-3.80653</v>
      </c>
      <c r="W38" s="5" t="n">
        <v>-38.569252</v>
      </c>
    </row>
    <row r="39" customFormat="false" ht="34.5" hidden="false" customHeight="true" outlineLevel="0" collapsed="false">
      <c r="A39" s="5" t="s">
        <v>228</v>
      </c>
      <c r="B39" s="5" t="s">
        <v>36</v>
      </c>
      <c r="C39" s="5" t="s">
        <v>229</v>
      </c>
      <c r="D39" s="5" t="s">
        <v>230</v>
      </c>
      <c r="E39" s="5" t="s">
        <v>231</v>
      </c>
      <c r="F39" s="5" t="n">
        <v>76</v>
      </c>
      <c r="G39" s="5" t="s">
        <v>64</v>
      </c>
      <c r="H39" s="5" t="n">
        <v>10</v>
      </c>
      <c r="I39" s="5" t="n">
        <v>34</v>
      </c>
      <c r="J39" s="5" t="s">
        <v>65</v>
      </c>
      <c r="K39" s="5" t="n">
        <v>4</v>
      </c>
      <c r="L39" s="5" t="s">
        <v>42</v>
      </c>
      <c r="M39" s="5"/>
      <c r="N39" s="5" t="s">
        <v>43</v>
      </c>
      <c r="O39" s="5"/>
      <c r="P39" s="5"/>
      <c r="Q39" s="6" t="n">
        <v>0</v>
      </c>
      <c r="R39" s="5"/>
      <c r="S39" s="5"/>
      <c r="T39" s="5" t="s">
        <v>42</v>
      </c>
      <c r="U39" s="5" t="s">
        <v>232</v>
      </c>
      <c r="V39" s="5" t="n">
        <v>-3.814123</v>
      </c>
      <c r="W39" s="5" t="n">
        <v>-38.591263</v>
      </c>
    </row>
    <row r="40" customFormat="false" ht="34.5" hidden="false" customHeight="true" outlineLevel="0" collapsed="false">
      <c r="A40" s="5" t="s">
        <v>233</v>
      </c>
      <c r="B40" s="5" t="s">
        <v>36</v>
      </c>
      <c r="C40" s="5" t="s">
        <v>234</v>
      </c>
      <c r="D40" s="5" t="s">
        <v>235</v>
      </c>
      <c r="E40" s="5" t="s">
        <v>236</v>
      </c>
      <c r="F40" s="5" t="n">
        <v>122</v>
      </c>
      <c r="G40" s="5" t="s">
        <v>64</v>
      </c>
      <c r="H40" s="5" t="n">
        <v>10</v>
      </c>
      <c r="I40" s="5" t="n">
        <v>34</v>
      </c>
      <c r="J40" s="5" t="s">
        <v>65</v>
      </c>
      <c r="K40" s="5" t="n">
        <v>4</v>
      </c>
      <c r="L40" s="5" t="s">
        <v>42</v>
      </c>
      <c r="M40" s="5"/>
      <c r="N40" s="5" t="s">
        <v>43</v>
      </c>
      <c r="O40" s="5"/>
      <c r="P40" s="5"/>
      <c r="Q40" s="6" t="n">
        <v>0</v>
      </c>
      <c r="R40" s="5"/>
      <c r="S40" s="5"/>
      <c r="T40" s="5" t="s">
        <v>42</v>
      </c>
      <c r="U40" s="5" t="s">
        <v>237</v>
      </c>
      <c r="V40" s="5" t="n">
        <v>-3.829354</v>
      </c>
      <c r="W40" s="5" t="n">
        <v>-38.590225</v>
      </c>
    </row>
    <row r="41" customFormat="false" ht="23.25" hidden="false" customHeight="true" outlineLevel="0" collapsed="false">
      <c r="A41" s="5" t="s">
        <v>238</v>
      </c>
      <c r="B41" s="5" t="s">
        <v>36</v>
      </c>
      <c r="C41" s="5" t="s">
        <v>239</v>
      </c>
      <c r="D41" s="5" t="s">
        <v>240</v>
      </c>
      <c r="E41" s="5" t="s">
        <v>241</v>
      </c>
      <c r="F41" s="5" t="n">
        <v>105</v>
      </c>
      <c r="G41" s="5" t="s">
        <v>71</v>
      </c>
      <c r="H41" s="5" t="n">
        <v>4</v>
      </c>
      <c r="I41" s="5" t="n">
        <v>17</v>
      </c>
      <c r="J41" s="5"/>
      <c r="K41" s="5" t="n">
        <v>4</v>
      </c>
      <c r="L41" s="5" t="s">
        <v>42</v>
      </c>
      <c r="M41" s="5"/>
      <c r="N41" s="5" t="s">
        <v>43</v>
      </c>
      <c r="O41" s="5"/>
      <c r="P41" s="5"/>
      <c r="Q41" s="6" t="n">
        <v>0</v>
      </c>
      <c r="R41" s="5"/>
      <c r="S41" s="5"/>
      <c r="T41" s="5" t="s">
        <v>42</v>
      </c>
      <c r="U41" s="5" t="s">
        <v>242</v>
      </c>
      <c r="V41" s="5" t="n">
        <v>-3.777714</v>
      </c>
      <c r="W41" s="5" t="n">
        <v>-38.559507</v>
      </c>
    </row>
    <row r="42" customFormat="false" ht="23.25" hidden="false" customHeight="true" outlineLevel="0" collapsed="false">
      <c r="A42" s="5" t="s">
        <v>243</v>
      </c>
      <c r="B42" s="5" t="s">
        <v>36</v>
      </c>
      <c r="C42" s="5" t="s">
        <v>244</v>
      </c>
      <c r="D42" s="5" t="s">
        <v>245</v>
      </c>
      <c r="E42" s="5" t="s">
        <v>246</v>
      </c>
      <c r="F42" s="5" t="n">
        <v>113</v>
      </c>
      <c r="G42" s="5" t="s">
        <v>56</v>
      </c>
      <c r="H42" s="5" t="n">
        <v>7</v>
      </c>
      <c r="I42" s="5" t="n">
        <v>22</v>
      </c>
      <c r="J42" s="5"/>
      <c r="K42" s="5" t="n">
        <v>4</v>
      </c>
      <c r="L42" s="5" t="s">
        <v>42</v>
      </c>
      <c r="M42" s="5"/>
      <c r="N42" s="5" t="s">
        <v>43</v>
      </c>
      <c r="O42" s="5"/>
      <c r="P42" s="5"/>
      <c r="Q42" s="6" t="n">
        <v>0</v>
      </c>
      <c r="R42" s="5"/>
      <c r="S42" s="5"/>
      <c r="T42" s="5" t="s">
        <v>42</v>
      </c>
      <c r="U42" s="5" t="s">
        <v>247</v>
      </c>
      <c r="V42" s="5" t="n">
        <v>-3.737842</v>
      </c>
      <c r="W42" s="5" t="n">
        <v>-38.45653</v>
      </c>
    </row>
    <row r="43" customFormat="false" ht="23.25" hidden="false" customHeight="true" outlineLevel="0" collapsed="false">
      <c r="A43" s="5" t="s">
        <v>248</v>
      </c>
      <c r="B43" s="5" t="s">
        <v>36</v>
      </c>
      <c r="C43" s="5" t="s">
        <v>249</v>
      </c>
      <c r="D43" s="5" t="s">
        <v>250</v>
      </c>
      <c r="E43" s="5" t="s">
        <v>156</v>
      </c>
      <c r="F43" s="5" t="n">
        <v>6</v>
      </c>
      <c r="G43" s="5" t="s">
        <v>40</v>
      </c>
      <c r="H43" s="5" t="n">
        <v>1</v>
      </c>
      <c r="I43" s="5" t="n">
        <v>3</v>
      </c>
      <c r="J43" s="5"/>
      <c r="K43" s="5" t="n">
        <v>4</v>
      </c>
      <c r="L43" s="5" t="s">
        <v>42</v>
      </c>
      <c r="M43" s="5"/>
      <c r="N43" s="5" t="s">
        <v>43</v>
      </c>
      <c r="O43" s="5"/>
      <c r="P43" s="5"/>
      <c r="Q43" s="6" t="n">
        <v>0</v>
      </c>
      <c r="R43" s="5"/>
      <c r="S43" s="5"/>
      <c r="T43" s="5" t="s">
        <v>42</v>
      </c>
      <c r="U43" s="5" t="s">
        <v>251</v>
      </c>
      <c r="V43" s="5" t="n">
        <v>-3.709081</v>
      </c>
      <c r="W43" s="5" t="n">
        <v>-38.580808</v>
      </c>
    </row>
    <row r="44" customFormat="false" ht="23.25" hidden="false" customHeight="true" outlineLevel="0" collapsed="false">
      <c r="A44" s="5" t="s">
        <v>252</v>
      </c>
      <c r="B44" s="5" t="s">
        <v>36</v>
      </c>
      <c r="C44" s="5" t="s">
        <v>253</v>
      </c>
      <c r="D44" s="5" t="s">
        <v>254</v>
      </c>
      <c r="E44" s="5" t="s">
        <v>136</v>
      </c>
      <c r="F44" s="5" t="n">
        <v>109</v>
      </c>
      <c r="G44" s="5" t="s">
        <v>71</v>
      </c>
      <c r="H44" s="5" t="n">
        <v>4</v>
      </c>
      <c r="I44" s="5" t="n">
        <v>18</v>
      </c>
      <c r="J44" s="5"/>
      <c r="K44" s="5" t="n">
        <v>4</v>
      </c>
      <c r="L44" s="5" t="s">
        <v>42</v>
      </c>
      <c r="M44" s="5"/>
      <c r="N44" s="5" t="s">
        <v>43</v>
      </c>
      <c r="O44" s="5"/>
      <c r="P44" s="5"/>
      <c r="Q44" s="6" t="n">
        <v>0</v>
      </c>
      <c r="R44" s="5"/>
      <c r="S44" s="5"/>
      <c r="T44" s="5" t="s">
        <v>42</v>
      </c>
      <c r="U44" s="5" t="s">
        <v>255</v>
      </c>
      <c r="V44" s="5" t="n">
        <v>-3.766432</v>
      </c>
      <c r="W44" s="5" t="n">
        <v>-38.536173</v>
      </c>
    </row>
    <row r="45" customFormat="false" ht="23.25" hidden="false" customHeight="true" outlineLevel="0" collapsed="false">
      <c r="A45" s="5" t="s">
        <v>256</v>
      </c>
      <c r="B45" s="5" t="s">
        <v>36</v>
      </c>
      <c r="C45" s="5" t="s">
        <v>257</v>
      </c>
      <c r="D45" s="5" t="s">
        <v>258</v>
      </c>
      <c r="E45" s="5" t="s">
        <v>231</v>
      </c>
      <c r="F45" s="5" t="n">
        <v>76</v>
      </c>
      <c r="G45" s="5" t="s">
        <v>64</v>
      </c>
      <c r="H45" s="5" t="n">
        <v>10</v>
      </c>
      <c r="I45" s="5" t="n">
        <v>34</v>
      </c>
      <c r="J45" s="5"/>
      <c r="K45" s="5" t="n">
        <v>4</v>
      </c>
      <c r="L45" s="5" t="s">
        <v>42</v>
      </c>
      <c r="M45" s="5"/>
      <c r="N45" s="5" t="s">
        <v>43</v>
      </c>
      <c r="O45" s="5"/>
      <c r="P45" s="5"/>
      <c r="Q45" s="6" t="n">
        <v>0</v>
      </c>
      <c r="R45" s="5"/>
      <c r="S45" s="5"/>
      <c r="T45" s="5" t="s">
        <v>42</v>
      </c>
      <c r="U45" s="5" t="s">
        <v>259</v>
      </c>
      <c r="V45" s="5" t="n">
        <v>-3.813607</v>
      </c>
      <c r="W45" s="5" t="n">
        <v>-38.595816</v>
      </c>
    </row>
    <row r="46" customFormat="false" ht="23.25" hidden="false" customHeight="true" outlineLevel="0" collapsed="false">
      <c r="A46" s="5" t="s">
        <v>260</v>
      </c>
      <c r="B46" s="5" t="s">
        <v>52</v>
      </c>
      <c r="C46" s="5" t="s">
        <v>261</v>
      </c>
      <c r="D46" s="5" t="s">
        <v>262</v>
      </c>
      <c r="E46" s="5" t="s">
        <v>199</v>
      </c>
      <c r="F46" s="5" t="n">
        <v>39</v>
      </c>
      <c r="G46" s="5" t="s">
        <v>40</v>
      </c>
      <c r="H46" s="5" t="n">
        <v>1</v>
      </c>
      <c r="I46" s="5" t="n">
        <v>2</v>
      </c>
      <c r="J46" s="5" t="s">
        <v>57</v>
      </c>
      <c r="K46" s="5" t="n">
        <v>10</v>
      </c>
      <c r="L46" s="5" t="s">
        <v>42</v>
      </c>
      <c r="M46" s="5"/>
      <c r="N46" s="5" t="s">
        <v>58</v>
      </c>
      <c r="O46" s="5"/>
      <c r="P46" s="5"/>
      <c r="Q46" s="5"/>
      <c r="R46" s="5"/>
      <c r="S46" s="5"/>
      <c r="T46" s="5" t="s">
        <v>44</v>
      </c>
      <c r="U46" s="5" t="s">
        <v>263</v>
      </c>
      <c r="V46" s="5" t="n">
        <v>-3.718023</v>
      </c>
      <c r="W46" s="5" t="n">
        <v>-38.600136</v>
      </c>
    </row>
    <row r="47" customFormat="false" ht="23.25" hidden="false" customHeight="true" outlineLevel="0" collapsed="false">
      <c r="A47" s="5" t="s">
        <v>264</v>
      </c>
      <c r="B47" s="5" t="s">
        <v>36</v>
      </c>
      <c r="C47" s="5" t="s">
        <v>265</v>
      </c>
      <c r="D47" s="5" t="s">
        <v>266</v>
      </c>
      <c r="E47" s="5" t="s">
        <v>267</v>
      </c>
      <c r="F47" s="5" t="n">
        <v>1</v>
      </c>
      <c r="G47" s="5" t="s">
        <v>96</v>
      </c>
      <c r="H47" s="5" t="n">
        <v>3</v>
      </c>
      <c r="I47" s="5" t="n">
        <v>13</v>
      </c>
      <c r="J47" s="5"/>
      <c r="K47" s="5" t="n">
        <v>4</v>
      </c>
      <c r="L47" s="5" t="s">
        <v>42</v>
      </c>
      <c r="M47" s="5"/>
      <c r="N47" s="5" t="s">
        <v>43</v>
      </c>
      <c r="O47" s="5"/>
      <c r="P47" s="5"/>
      <c r="Q47" s="6" t="n">
        <v>0</v>
      </c>
      <c r="R47" s="5"/>
      <c r="S47" s="5"/>
      <c r="T47" s="5" t="s">
        <v>42</v>
      </c>
      <c r="U47" s="5" t="s">
        <v>268</v>
      </c>
      <c r="V47" s="5" t="n">
        <v>-3.727524</v>
      </c>
      <c r="W47" s="5" t="n">
        <v>-38.559329</v>
      </c>
    </row>
    <row r="48" customFormat="false" ht="34.5" hidden="false" customHeight="true" outlineLevel="0" collapsed="false">
      <c r="A48" s="5" t="s">
        <v>269</v>
      </c>
      <c r="B48" s="5" t="s">
        <v>36</v>
      </c>
      <c r="C48" s="5" t="s">
        <v>270</v>
      </c>
      <c r="D48" s="5" t="s">
        <v>271</v>
      </c>
      <c r="E48" s="5" t="s">
        <v>272</v>
      </c>
      <c r="F48" s="5" t="n">
        <v>45</v>
      </c>
      <c r="G48" s="5" t="s">
        <v>96</v>
      </c>
      <c r="H48" s="5" t="n">
        <v>11</v>
      </c>
      <c r="I48" s="5" t="n">
        <v>37</v>
      </c>
      <c r="J48" s="5" t="s">
        <v>65</v>
      </c>
      <c r="K48" s="5" t="n">
        <v>4</v>
      </c>
      <c r="L48" s="5" t="s">
        <v>42</v>
      </c>
      <c r="M48" s="5"/>
      <c r="N48" s="5" t="s">
        <v>43</v>
      </c>
      <c r="O48" s="5"/>
      <c r="P48" s="5"/>
      <c r="Q48" s="6" t="n">
        <v>0</v>
      </c>
      <c r="R48" s="5"/>
      <c r="S48" s="5"/>
      <c r="T48" s="5" t="s">
        <v>42</v>
      </c>
      <c r="U48" s="5" t="s">
        <v>273</v>
      </c>
      <c r="V48" s="5" t="n">
        <v>-3.764802</v>
      </c>
      <c r="W48" s="5" t="n">
        <v>-38.588194</v>
      </c>
    </row>
    <row r="49" customFormat="false" ht="34.5" hidden="false" customHeight="true" outlineLevel="0" collapsed="false">
      <c r="A49" s="5" t="s">
        <v>274</v>
      </c>
      <c r="B49" s="5" t="s">
        <v>275</v>
      </c>
      <c r="C49" s="5" t="s">
        <v>276</v>
      </c>
      <c r="D49" s="5" t="s">
        <v>277</v>
      </c>
      <c r="E49" s="5" t="s">
        <v>151</v>
      </c>
      <c r="F49" s="5" t="n">
        <v>35</v>
      </c>
      <c r="G49" s="5" t="s">
        <v>56</v>
      </c>
      <c r="H49" s="5" t="n">
        <v>2</v>
      </c>
      <c r="I49" s="5" t="n">
        <v>10</v>
      </c>
      <c r="J49" s="5" t="s">
        <v>41</v>
      </c>
      <c r="K49" s="5" t="n">
        <v>10</v>
      </c>
      <c r="L49" s="5" t="s">
        <v>42</v>
      </c>
      <c r="M49" s="5"/>
      <c r="N49" s="5" t="s">
        <v>43</v>
      </c>
      <c r="O49" s="5"/>
      <c r="P49" s="5"/>
      <c r="Q49" s="6" t="n">
        <v>0</v>
      </c>
      <c r="R49" s="5"/>
      <c r="S49" s="5"/>
      <c r="T49" s="5" t="s">
        <v>44</v>
      </c>
      <c r="U49" s="5" t="s">
        <v>278</v>
      </c>
      <c r="V49" s="5" t="n">
        <v>-3.756168</v>
      </c>
      <c r="W49" s="5" t="n">
        <v>-38.50234</v>
      </c>
    </row>
    <row r="50" customFormat="false" ht="23.25" hidden="false" customHeight="true" outlineLevel="0" collapsed="false">
      <c r="A50" s="5" t="s">
        <v>279</v>
      </c>
      <c r="B50" s="5" t="s">
        <v>36</v>
      </c>
      <c r="C50" s="5" t="s">
        <v>280</v>
      </c>
      <c r="D50" s="5" t="s">
        <v>281</v>
      </c>
      <c r="E50" s="5" t="s">
        <v>282</v>
      </c>
      <c r="F50" s="5" t="n">
        <v>37</v>
      </c>
      <c r="G50" s="5" t="s">
        <v>56</v>
      </c>
      <c r="H50" s="5" t="n">
        <v>2</v>
      </c>
      <c r="I50" s="5" t="n">
        <v>9</v>
      </c>
      <c r="J50" s="5"/>
      <c r="K50" s="5" t="n">
        <v>4</v>
      </c>
      <c r="L50" s="5" t="s">
        <v>42</v>
      </c>
      <c r="M50" s="5"/>
      <c r="N50" s="5" t="s">
        <v>43</v>
      </c>
      <c r="O50" s="5"/>
      <c r="P50" s="5"/>
      <c r="Q50" s="6" t="n">
        <v>0</v>
      </c>
      <c r="R50" s="5"/>
      <c r="S50" s="5"/>
      <c r="T50" s="5" t="s">
        <v>42</v>
      </c>
      <c r="U50" s="5" t="s">
        <v>283</v>
      </c>
      <c r="V50" s="5" t="n">
        <v>-3.725691</v>
      </c>
      <c r="W50" s="5" t="n">
        <v>-38.466675</v>
      </c>
    </row>
    <row r="51" customFormat="false" ht="34.5" hidden="false" customHeight="true" outlineLevel="0" collapsed="false">
      <c r="A51" s="5" t="s">
        <v>284</v>
      </c>
      <c r="B51" s="5" t="s">
        <v>52</v>
      </c>
      <c r="C51" s="5" t="s">
        <v>285</v>
      </c>
      <c r="D51" s="5" t="s">
        <v>286</v>
      </c>
      <c r="E51" s="5" t="s">
        <v>287</v>
      </c>
      <c r="F51" s="5" t="n">
        <v>33</v>
      </c>
      <c r="G51" s="5" t="s">
        <v>96</v>
      </c>
      <c r="H51" s="5" t="n">
        <v>3</v>
      </c>
      <c r="I51" s="5" t="n">
        <v>12</v>
      </c>
      <c r="J51" s="5" t="s">
        <v>41</v>
      </c>
      <c r="K51" s="5" t="n">
        <v>10</v>
      </c>
      <c r="L51" s="5" t="s">
        <v>42</v>
      </c>
      <c r="M51" s="5"/>
      <c r="N51" s="5" t="s">
        <v>43</v>
      </c>
      <c r="O51" s="5"/>
      <c r="P51" s="5"/>
      <c r="Q51" s="6" t="n">
        <v>0</v>
      </c>
      <c r="R51" s="5"/>
      <c r="S51" s="5"/>
      <c r="T51" s="5" t="s">
        <v>44</v>
      </c>
      <c r="U51" s="5" t="s">
        <v>288</v>
      </c>
      <c r="V51" s="5" t="n">
        <v>-3.729464</v>
      </c>
      <c r="W51" s="5" t="n">
        <v>-38.570643</v>
      </c>
    </row>
    <row r="52" customFormat="false" ht="23.25" hidden="false" customHeight="true" outlineLevel="0" collapsed="false">
      <c r="A52" s="5" t="s">
        <v>289</v>
      </c>
      <c r="B52" s="5" t="s">
        <v>36</v>
      </c>
      <c r="C52" s="5" t="s">
        <v>290</v>
      </c>
      <c r="D52" s="5" t="s">
        <v>291</v>
      </c>
      <c r="E52" s="5" t="s">
        <v>292</v>
      </c>
      <c r="F52" s="5" t="n">
        <v>43</v>
      </c>
      <c r="G52" s="5" t="s">
        <v>96</v>
      </c>
      <c r="H52" s="5" t="n">
        <v>11</v>
      </c>
      <c r="I52" s="5" t="n">
        <v>37</v>
      </c>
      <c r="J52" s="5"/>
      <c r="K52" s="5" t="n">
        <v>4</v>
      </c>
      <c r="L52" s="5" t="s">
        <v>42</v>
      </c>
      <c r="M52" s="5"/>
      <c r="N52" s="5" t="s">
        <v>43</v>
      </c>
      <c r="O52" s="5"/>
      <c r="P52" s="5"/>
      <c r="Q52" s="6" t="n">
        <v>0</v>
      </c>
      <c r="R52" s="5"/>
      <c r="S52" s="5"/>
      <c r="T52" s="5" t="s">
        <v>42</v>
      </c>
      <c r="U52" s="5" t="s">
        <v>293</v>
      </c>
      <c r="V52" s="5" t="n">
        <v>-3.755865</v>
      </c>
      <c r="W52" s="5" t="n">
        <v>-38.592013</v>
      </c>
    </row>
    <row r="53" customFormat="false" ht="23.25" hidden="false" customHeight="true" outlineLevel="0" collapsed="false">
      <c r="A53" s="5" t="s">
        <v>294</v>
      </c>
      <c r="B53" s="5" t="s">
        <v>36</v>
      </c>
      <c r="C53" s="5" t="s">
        <v>295</v>
      </c>
      <c r="D53" s="5" t="s">
        <v>296</v>
      </c>
      <c r="E53" s="5" t="s">
        <v>297</v>
      </c>
      <c r="F53" s="5" t="n">
        <v>2</v>
      </c>
      <c r="G53" s="5" t="s">
        <v>56</v>
      </c>
      <c r="H53" s="5" t="n">
        <v>2</v>
      </c>
      <c r="I53" s="5" t="n">
        <v>7</v>
      </c>
      <c r="J53" s="5"/>
      <c r="K53" s="5" t="n">
        <v>4</v>
      </c>
      <c r="L53" s="5" t="s">
        <v>42</v>
      </c>
      <c r="M53" s="5"/>
      <c r="N53" s="5" t="s">
        <v>43</v>
      </c>
      <c r="O53" s="5"/>
      <c r="P53" s="5"/>
      <c r="Q53" s="6" t="n">
        <v>0</v>
      </c>
      <c r="R53" s="5"/>
      <c r="S53" s="5"/>
      <c r="T53" s="5" t="s">
        <v>42</v>
      </c>
      <c r="U53" s="5" t="s">
        <v>298</v>
      </c>
      <c r="V53" s="5" t="n">
        <v>-3.744884</v>
      </c>
      <c r="W53" s="5" t="n">
        <v>-38.496875</v>
      </c>
    </row>
    <row r="54" customFormat="false" ht="23.25" hidden="false" customHeight="true" outlineLevel="0" collapsed="false">
      <c r="A54" s="5" t="s">
        <v>299</v>
      </c>
      <c r="B54" s="5" t="s">
        <v>300</v>
      </c>
      <c r="C54" s="5" t="s">
        <v>301</v>
      </c>
      <c r="D54" s="5" t="s">
        <v>302</v>
      </c>
      <c r="E54" s="5" t="s">
        <v>161</v>
      </c>
      <c r="F54" s="5" t="n">
        <v>79</v>
      </c>
      <c r="G54" s="5" t="s">
        <v>64</v>
      </c>
      <c r="H54" s="5" t="n">
        <v>5</v>
      </c>
      <c r="I54" s="5" t="n">
        <v>39</v>
      </c>
      <c r="J54" s="5"/>
      <c r="K54" s="5" t="n">
        <v>4</v>
      </c>
      <c r="L54" s="5" t="s">
        <v>42</v>
      </c>
      <c r="M54" s="5"/>
      <c r="N54" s="5" t="s">
        <v>43</v>
      </c>
      <c r="O54" s="5"/>
      <c r="P54" s="5"/>
      <c r="Q54" s="6" t="n">
        <v>0</v>
      </c>
      <c r="R54" s="5"/>
      <c r="S54" s="5"/>
      <c r="T54" s="5" t="s">
        <v>42</v>
      </c>
      <c r="U54" s="5" t="s">
        <v>303</v>
      </c>
      <c r="V54" s="5" t="n">
        <v>-3.789179</v>
      </c>
      <c r="W54" s="5" t="n">
        <v>-38.597875</v>
      </c>
    </row>
    <row r="55" customFormat="false" ht="23.25" hidden="false" customHeight="true" outlineLevel="0" collapsed="false">
      <c r="A55" s="5" t="s">
        <v>304</v>
      </c>
      <c r="B55" s="5" t="s">
        <v>52</v>
      </c>
      <c r="C55" s="5" t="s">
        <v>305</v>
      </c>
      <c r="D55" s="5" t="s">
        <v>306</v>
      </c>
      <c r="E55" s="5" t="s">
        <v>70</v>
      </c>
      <c r="F55" s="5" t="n">
        <v>89</v>
      </c>
      <c r="G55" s="5" t="s">
        <v>71</v>
      </c>
      <c r="H55" s="5" t="n">
        <v>8</v>
      </c>
      <c r="I55" s="5" t="n">
        <v>21</v>
      </c>
      <c r="J55" s="5" t="s">
        <v>57</v>
      </c>
      <c r="K55" s="5" t="n">
        <v>11</v>
      </c>
      <c r="L55" s="5" t="s">
        <v>42</v>
      </c>
      <c r="M55" s="5"/>
      <c r="N55" s="5" t="s">
        <v>58</v>
      </c>
      <c r="O55" s="5"/>
      <c r="P55" s="5"/>
      <c r="Q55" s="5"/>
      <c r="R55" s="5"/>
      <c r="S55" s="5"/>
      <c r="T55" s="5" t="s">
        <v>44</v>
      </c>
      <c r="U55" s="5" t="s">
        <v>307</v>
      </c>
      <c r="V55" s="5" t="n">
        <v>-3.829086</v>
      </c>
      <c r="W55" s="5" t="n">
        <v>-38.55693</v>
      </c>
    </row>
    <row r="56" customFormat="false" ht="23.25" hidden="false" customHeight="true" outlineLevel="0" collapsed="false">
      <c r="A56" s="5" t="s">
        <v>308</v>
      </c>
      <c r="B56" s="5" t="s">
        <v>52</v>
      </c>
      <c r="C56" s="5" t="s">
        <v>309</v>
      </c>
      <c r="D56" s="5" t="s">
        <v>310</v>
      </c>
      <c r="E56" s="5" t="s">
        <v>292</v>
      </c>
      <c r="F56" s="5" t="n">
        <v>43</v>
      </c>
      <c r="G56" s="5" t="s">
        <v>96</v>
      </c>
      <c r="H56" s="5" t="n">
        <v>11</v>
      </c>
      <c r="I56" s="5" t="n">
        <v>37</v>
      </c>
      <c r="J56" s="5" t="s">
        <v>41</v>
      </c>
      <c r="K56" s="5" t="n">
        <v>11</v>
      </c>
      <c r="L56" s="5" t="s">
        <v>42</v>
      </c>
      <c r="M56" s="5"/>
      <c r="N56" s="5" t="s">
        <v>43</v>
      </c>
      <c r="O56" s="5"/>
      <c r="P56" s="5" t="s">
        <v>311</v>
      </c>
      <c r="Q56" s="6" t="n">
        <v>0</v>
      </c>
      <c r="R56" s="5"/>
      <c r="S56" s="5"/>
      <c r="T56" s="5" t="s">
        <v>44</v>
      </c>
      <c r="U56" s="5" t="s">
        <v>312</v>
      </c>
      <c r="V56" s="5" t="n">
        <v>-3.755883</v>
      </c>
      <c r="W56" s="5" t="n">
        <v>-38.583951</v>
      </c>
    </row>
    <row r="57" customFormat="false" ht="23.25" hidden="false" customHeight="true" outlineLevel="0" collapsed="false">
      <c r="A57" s="5" t="s">
        <v>313</v>
      </c>
      <c r="B57" s="5" t="s">
        <v>52</v>
      </c>
      <c r="C57" s="5" t="s">
        <v>314</v>
      </c>
      <c r="D57" s="5" t="s">
        <v>315</v>
      </c>
      <c r="E57" s="5" t="s">
        <v>267</v>
      </c>
      <c r="F57" s="5" t="n">
        <v>1</v>
      </c>
      <c r="G57" s="5" t="s">
        <v>96</v>
      </c>
      <c r="H57" s="5" t="n">
        <v>3</v>
      </c>
      <c r="I57" s="5" t="n">
        <v>13</v>
      </c>
      <c r="J57" s="5" t="s">
        <v>57</v>
      </c>
      <c r="K57" s="5" t="n">
        <v>11</v>
      </c>
      <c r="L57" s="5" t="s">
        <v>42</v>
      </c>
      <c r="M57" s="5"/>
      <c r="N57" s="5" t="s">
        <v>58</v>
      </c>
      <c r="O57" s="5"/>
      <c r="P57" s="5"/>
      <c r="Q57" s="5"/>
      <c r="R57" s="5"/>
      <c r="S57" s="5"/>
      <c r="T57" s="5" t="s">
        <v>44</v>
      </c>
      <c r="U57" s="5" t="s">
        <v>316</v>
      </c>
      <c r="V57" s="5" t="n">
        <v>-3.732608</v>
      </c>
      <c r="W57" s="5" t="n">
        <v>-38.557913</v>
      </c>
    </row>
    <row r="58" customFormat="false" ht="23.25" hidden="false" customHeight="true" outlineLevel="0" collapsed="false">
      <c r="A58" s="5" t="s">
        <v>317</v>
      </c>
      <c r="B58" s="5" t="s">
        <v>275</v>
      </c>
      <c r="C58" s="5" t="s">
        <v>318</v>
      </c>
      <c r="D58" s="5" t="s">
        <v>319</v>
      </c>
      <c r="E58" s="5" t="s">
        <v>156</v>
      </c>
      <c r="F58" s="5" t="n">
        <v>6</v>
      </c>
      <c r="G58" s="5" t="s">
        <v>40</v>
      </c>
      <c r="H58" s="5" t="n">
        <v>1</v>
      </c>
      <c r="I58" s="5" t="n">
        <v>3</v>
      </c>
      <c r="J58" s="5" t="s">
        <v>57</v>
      </c>
      <c r="K58" s="5" t="n">
        <v>12</v>
      </c>
      <c r="L58" s="5" t="s">
        <v>44</v>
      </c>
      <c r="M58" s="5" t="s">
        <v>97</v>
      </c>
      <c r="N58" s="5" t="s">
        <v>58</v>
      </c>
      <c r="O58" s="5"/>
      <c r="P58" s="5"/>
      <c r="Q58" s="5"/>
      <c r="R58" s="5"/>
      <c r="S58" s="5"/>
      <c r="T58" s="5" t="s">
        <v>44</v>
      </c>
      <c r="U58" s="5" t="s">
        <v>320</v>
      </c>
      <c r="V58" s="5" t="n">
        <v>-3.706478</v>
      </c>
      <c r="W58" s="5" t="n">
        <v>-38.585312</v>
      </c>
    </row>
    <row r="59" customFormat="false" ht="23.25" hidden="false" customHeight="true" outlineLevel="0" collapsed="false">
      <c r="A59" s="5" t="s">
        <v>321</v>
      </c>
      <c r="B59" s="5" t="s">
        <v>275</v>
      </c>
      <c r="C59" s="5" t="s">
        <v>322</v>
      </c>
      <c r="D59" s="5" t="s">
        <v>323</v>
      </c>
      <c r="E59" s="5" t="s">
        <v>112</v>
      </c>
      <c r="F59" s="5" t="n">
        <v>88</v>
      </c>
      <c r="G59" s="5" t="s">
        <v>71</v>
      </c>
      <c r="H59" s="5" t="n">
        <v>8</v>
      </c>
      <c r="I59" s="5" t="n">
        <v>20</v>
      </c>
      <c r="J59" s="5" t="s">
        <v>41</v>
      </c>
      <c r="K59" s="5" t="n">
        <v>12</v>
      </c>
      <c r="L59" s="5" t="s">
        <v>42</v>
      </c>
      <c r="M59" s="5"/>
      <c r="N59" s="5" t="s">
        <v>43</v>
      </c>
      <c r="O59" s="6" t="n">
        <v>67220.06</v>
      </c>
      <c r="P59" s="5" t="s">
        <v>311</v>
      </c>
      <c r="Q59" s="6" t="n">
        <v>67220.06</v>
      </c>
      <c r="R59" s="5" t="s">
        <v>324</v>
      </c>
      <c r="S59" s="5"/>
      <c r="T59" s="5" t="s">
        <v>44</v>
      </c>
      <c r="U59" s="5" t="s">
        <v>325</v>
      </c>
      <c r="V59" s="5" t="n">
        <v>-3.82824</v>
      </c>
      <c r="W59" s="5" t="n">
        <v>-38.530484</v>
      </c>
    </row>
    <row r="60" customFormat="false" ht="34.5" hidden="false" customHeight="true" outlineLevel="0" collapsed="false">
      <c r="A60" s="5" t="s">
        <v>326</v>
      </c>
      <c r="B60" s="5" t="s">
        <v>36</v>
      </c>
      <c r="C60" s="5" t="s">
        <v>327</v>
      </c>
      <c r="D60" s="5" t="s">
        <v>328</v>
      </c>
      <c r="E60" s="5" t="s">
        <v>329</v>
      </c>
      <c r="F60" s="5" t="n">
        <v>120</v>
      </c>
      <c r="G60" s="5" t="s">
        <v>330</v>
      </c>
      <c r="H60" s="5" t="n">
        <v>9</v>
      </c>
      <c r="I60" s="5" t="n">
        <v>33</v>
      </c>
      <c r="J60" s="5" t="s">
        <v>65</v>
      </c>
      <c r="K60" s="5" t="n">
        <v>5</v>
      </c>
      <c r="L60" s="5" t="s">
        <v>42</v>
      </c>
      <c r="M60" s="5"/>
      <c r="N60" s="5" t="s">
        <v>43</v>
      </c>
      <c r="O60" s="5"/>
      <c r="P60" s="5"/>
      <c r="Q60" s="6" t="n">
        <v>0</v>
      </c>
      <c r="R60" s="5"/>
      <c r="S60" s="5"/>
      <c r="T60" s="5" t="s">
        <v>42</v>
      </c>
      <c r="U60" s="5" t="s">
        <v>331</v>
      </c>
      <c r="V60" s="5" t="n">
        <v>-3.851678</v>
      </c>
      <c r="W60" s="5" t="n">
        <v>-38.502448</v>
      </c>
    </row>
    <row r="61" customFormat="false" ht="34.5" hidden="false" customHeight="true" outlineLevel="0" collapsed="false">
      <c r="A61" s="5" t="s">
        <v>332</v>
      </c>
      <c r="B61" s="5" t="s">
        <v>36</v>
      </c>
      <c r="C61" s="5" t="s">
        <v>333</v>
      </c>
      <c r="D61" s="5" t="s">
        <v>334</v>
      </c>
      <c r="E61" s="5" t="s">
        <v>81</v>
      </c>
      <c r="F61" s="5" t="n">
        <v>78</v>
      </c>
      <c r="G61" s="5" t="s">
        <v>64</v>
      </c>
      <c r="H61" s="5" t="n">
        <v>5</v>
      </c>
      <c r="I61" s="5" t="n">
        <v>39</v>
      </c>
      <c r="J61" s="5" t="s">
        <v>65</v>
      </c>
      <c r="K61" s="5" t="n">
        <v>5</v>
      </c>
      <c r="L61" s="5" t="s">
        <v>42</v>
      </c>
      <c r="M61" s="5"/>
      <c r="N61" s="5" t="s">
        <v>43</v>
      </c>
      <c r="O61" s="5"/>
      <c r="P61" s="5"/>
      <c r="Q61" s="6" t="n">
        <v>0</v>
      </c>
      <c r="R61" s="5"/>
      <c r="S61" s="5"/>
      <c r="T61" s="5" t="s">
        <v>42</v>
      </c>
      <c r="U61" s="5" t="s">
        <v>335</v>
      </c>
      <c r="V61" s="5" t="n">
        <v>-3.796236</v>
      </c>
      <c r="W61" s="5" t="n">
        <v>-38.613854</v>
      </c>
    </row>
    <row r="62" customFormat="false" ht="34.5" hidden="false" customHeight="true" outlineLevel="0" collapsed="false">
      <c r="A62" s="5" t="s">
        <v>336</v>
      </c>
      <c r="B62" s="5" t="s">
        <v>36</v>
      </c>
      <c r="C62" s="5" t="s">
        <v>337</v>
      </c>
      <c r="D62" s="5" t="s">
        <v>338</v>
      </c>
      <c r="E62" s="5" t="s">
        <v>81</v>
      </c>
      <c r="F62" s="5" t="n">
        <v>78</v>
      </c>
      <c r="G62" s="5" t="s">
        <v>64</v>
      </c>
      <c r="H62" s="5" t="n">
        <v>5</v>
      </c>
      <c r="I62" s="5" t="n">
        <v>39</v>
      </c>
      <c r="J62" s="5" t="s">
        <v>65</v>
      </c>
      <c r="K62" s="5" t="n">
        <v>5</v>
      </c>
      <c r="L62" s="5" t="s">
        <v>42</v>
      </c>
      <c r="M62" s="5"/>
      <c r="N62" s="5" t="s">
        <v>43</v>
      </c>
      <c r="O62" s="5"/>
      <c r="P62" s="5"/>
      <c r="Q62" s="6" t="n">
        <v>0</v>
      </c>
      <c r="R62" s="5"/>
      <c r="S62" s="5"/>
      <c r="T62" s="5" t="s">
        <v>42</v>
      </c>
      <c r="U62" s="5" t="s">
        <v>339</v>
      </c>
      <c r="V62" s="5" t="n">
        <v>-3.77723</v>
      </c>
      <c r="W62" s="5" t="n">
        <v>-38.617417</v>
      </c>
    </row>
    <row r="63" customFormat="false" ht="34.5" hidden="false" customHeight="true" outlineLevel="0" collapsed="false">
      <c r="A63" s="5" t="s">
        <v>340</v>
      </c>
      <c r="B63" s="5" t="s">
        <v>36</v>
      </c>
      <c r="C63" s="5" t="s">
        <v>341</v>
      </c>
      <c r="D63" s="5" t="s">
        <v>342</v>
      </c>
      <c r="E63" s="5" t="s">
        <v>343</v>
      </c>
      <c r="F63" s="5" t="n">
        <v>63</v>
      </c>
      <c r="G63" s="5" t="s">
        <v>330</v>
      </c>
      <c r="H63" s="5" t="n">
        <v>6</v>
      </c>
      <c r="I63" s="5" t="n">
        <v>29</v>
      </c>
      <c r="J63" s="5" t="s">
        <v>65</v>
      </c>
      <c r="K63" s="5" t="n">
        <v>5</v>
      </c>
      <c r="L63" s="5" t="s">
        <v>42</v>
      </c>
      <c r="M63" s="5"/>
      <c r="N63" s="5" t="s">
        <v>43</v>
      </c>
      <c r="O63" s="5"/>
      <c r="P63" s="5"/>
      <c r="Q63" s="6" t="n">
        <v>0</v>
      </c>
      <c r="R63" s="5"/>
      <c r="S63" s="5"/>
      <c r="T63" s="5" t="s">
        <v>42</v>
      </c>
      <c r="U63" s="5" t="s">
        <v>344</v>
      </c>
      <c r="V63" s="5" t="n">
        <v>-3.827032</v>
      </c>
      <c r="W63" s="5" t="n">
        <v>-38.457103</v>
      </c>
    </row>
    <row r="64" customFormat="false" ht="34.5" hidden="false" customHeight="true" outlineLevel="0" collapsed="false">
      <c r="A64" s="5" t="s">
        <v>345</v>
      </c>
      <c r="B64" s="5" t="s">
        <v>36</v>
      </c>
      <c r="C64" s="5" t="s">
        <v>346</v>
      </c>
      <c r="D64" s="5" t="s">
        <v>347</v>
      </c>
      <c r="E64" s="5" t="s">
        <v>131</v>
      </c>
      <c r="F64" s="5" t="n">
        <v>95</v>
      </c>
      <c r="G64" s="5" t="s">
        <v>71</v>
      </c>
      <c r="H64" s="5" t="n">
        <v>8</v>
      </c>
      <c r="I64" s="5" t="n">
        <v>20</v>
      </c>
      <c r="J64" s="5" t="s">
        <v>65</v>
      </c>
      <c r="K64" s="5" t="n">
        <v>5</v>
      </c>
      <c r="L64" s="5" t="s">
        <v>42</v>
      </c>
      <c r="M64" s="5"/>
      <c r="N64" s="5" t="s">
        <v>43</v>
      </c>
      <c r="O64" s="5"/>
      <c r="P64" s="5"/>
      <c r="Q64" s="6" t="n">
        <v>0</v>
      </c>
      <c r="R64" s="5"/>
      <c r="S64" s="5"/>
      <c r="T64" s="5" t="s">
        <v>42</v>
      </c>
      <c r="U64" s="5" t="s">
        <v>348</v>
      </c>
      <c r="V64" s="5" t="n">
        <v>-3.79287</v>
      </c>
      <c r="W64" s="5" t="n">
        <v>-38.518283</v>
      </c>
    </row>
    <row r="65" customFormat="false" ht="34.5" hidden="false" customHeight="true" outlineLevel="0" collapsed="false">
      <c r="A65" s="5" t="s">
        <v>349</v>
      </c>
      <c r="B65" s="5" t="s">
        <v>36</v>
      </c>
      <c r="C65" s="5" t="s">
        <v>350</v>
      </c>
      <c r="D65" s="5" t="s">
        <v>351</v>
      </c>
      <c r="E65" s="5" t="s">
        <v>112</v>
      </c>
      <c r="F65" s="5" t="n">
        <v>88</v>
      </c>
      <c r="G65" s="5" t="s">
        <v>71</v>
      </c>
      <c r="H65" s="5" t="n">
        <v>8</v>
      </c>
      <c r="I65" s="5" t="n">
        <v>20</v>
      </c>
      <c r="J65" s="5" t="s">
        <v>65</v>
      </c>
      <c r="K65" s="5" t="n">
        <v>5</v>
      </c>
      <c r="L65" s="5" t="s">
        <v>42</v>
      </c>
      <c r="M65" s="5"/>
      <c r="N65" s="5" t="s">
        <v>43</v>
      </c>
      <c r="O65" s="5"/>
      <c r="P65" s="5"/>
      <c r="Q65" s="6" t="n">
        <v>0</v>
      </c>
      <c r="R65" s="5"/>
      <c r="S65" s="5"/>
      <c r="T65" s="5" t="s">
        <v>42</v>
      </c>
      <c r="U65" s="5" t="s">
        <v>352</v>
      </c>
      <c r="V65" s="5" t="n">
        <v>-3.81317</v>
      </c>
      <c r="W65" s="5" t="n">
        <v>-38.537945</v>
      </c>
    </row>
    <row r="66" customFormat="false" ht="34.5" hidden="false" customHeight="true" outlineLevel="0" collapsed="false">
      <c r="A66" s="5" t="s">
        <v>353</v>
      </c>
      <c r="B66" s="5" t="s">
        <v>36</v>
      </c>
      <c r="C66" s="5" t="s">
        <v>354</v>
      </c>
      <c r="D66" s="5" t="s">
        <v>355</v>
      </c>
      <c r="E66" s="5" t="s">
        <v>356</v>
      </c>
      <c r="F66" s="5" t="n">
        <v>117</v>
      </c>
      <c r="G66" s="5" t="s">
        <v>330</v>
      </c>
      <c r="H66" s="5" t="n">
        <v>9</v>
      </c>
      <c r="I66" s="5" t="n">
        <v>32</v>
      </c>
      <c r="J66" s="5" t="s">
        <v>65</v>
      </c>
      <c r="K66" s="5" t="n">
        <v>5</v>
      </c>
      <c r="L66" s="5" t="s">
        <v>42</v>
      </c>
      <c r="M66" s="5"/>
      <c r="N66" s="5" t="s">
        <v>43</v>
      </c>
      <c r="O66" s="5"/>
      <c r="P66" s="5"/>
      <c r="Q66" s="6" t="n">
        <v>0</v>
      </c>
      <c r="R66" s="5"/>
      <c r="S66" s="5"/>
      <c r="T66" s="5" t="s">
        <v>42</v>
      </c>
      <c r="U66" s="5" t="s">
        <v>357</v>
      </c>
      <c r="V66" s="5" t="n">
        <v>-3.85132</v>
      </c>
      <c r="W66" s="5" t="n">
        <v>-38.524344</v>
      </c>
    </row>
    <row r="67" customFormat="false" ht="34.5" hidden="false" customHeight="true" outlineLevel="0" collapsed="false">
      <c r="A67" s="5" t="s">
        <v>358</v>
      </c>
      <c r="B67" s="5" t="s">
        <v>36</v>
      </c>
      <c r="C67" s="5" t="s">
        <v>359</v>
      </c>
      <c r="D67" s="5" t="s">
        <v>360</v>
      </c>
      <c r="E67" s="5" t="s">
        <v>343</v>
      </c>
      <c r="F67" s="5" t="n">
        <v>63</v>
      </c>
      <c r="G67" s="5" t="s">
        <v>330</v>
      </c>
      <c r="H67" s="5" t="n">
        <v>6</v>
      </c>
      <c r="I67" s="5" t="n">
        <v>29</v>
      </c>
      <c r="J67" s="5" t="s">
        <v>65</v>
      </c>
      <c r="K67" s="5" t="n">
        <v>5</v>
      </c>
      <c r="L67" s="5" t="s">
        <v>42</v>
      </c>
      <c r="M67" s="5"/>
      <c r="N67" s="5" t="s">
        <v>43</v>
      </c>
      <c r="O67" s="5"/>
      <c r="P67" s="5"/>
      <c r="Q67" s="6" t="n">
        <v>0</v>
      </c>
      <c r="R67" s="5"/>
      <c r="S67" s="5"/>
      <c r="T67" s="5" t="s">
        <v>42</v>
      </c>
      <c r="U67" s="5" t="s">
        <v>361</v>
      </c>
      <c r="V67" s="5" t="n">
        <v>-3.827022</v>
      </c>
      <c r="W67" s="5" t="n">
        <v>-38.463638</v>
      </c>
    </row>
    <row r="68" customFormat="false" ht="34.5" hidden="false" customHeight="true" outlineLevel="0" collapsed="false">
      <c r="A68" s="5" t="s">
        <v>362</v>
      </c>
      <c r="B68" s="5" t="s">
        <v>36</v>
      </c>
      <c r="C68" s="5" t="s">
        <v>363</v>
      </c>
      <c r="D68" s="5" t="s">
        <v>364</v>
      </c>
      <c r="E68" s="5" t="s">
        <v>70</v>
      </c>
      <c r="F68" s="5" t="n">
        <v>89</v>
      </c>
      <c r="G68" s="5" t="s">
        <v>71</v>
      </c>
      <c r="H68" s="5" t="n">
        <v>8</v>
      </c>
      <c r="I68" s="5" t="n">
        <v>21</v>
      </c>
      <c r="J68" s="5" t="s">
        <v>65</v>
      </c>
      <c r="K68" s="5" t="n">
        <v>5</v>
      </c>
      <c r="L68" s="5" t="s">
        <v>42</v>
      </c>
      <c r="M68" s="5"/>
      <c r="N68" s="5" t="s">
        <v>43</v>
      </c>
      <c r="O68" s="5"/>
      <c r="P68" s="5"/>
      <c r="Q68" s="6" t="n">
        <v>0</v>
      </c>
      <c r="R68" s="5"/>
      <c r="S68" s="5"/>
      <c r="T68" s="5" t="s">
        <v>42</v>
      </c>
      <c r="U68" s="5" t="s">
        <v>365</v>
      </c>
      <c r="V68" s="5" t="n">
        <v>-3.829569</v>
      </c>
      <c r="W68" s="5" t="n">
        <v>-38.557183</v>
      </c>
    </row>
    <row r="69" customFormat="false" ht="34.5" hidden="false" customHeight="true" outlineLevel="0" collapsed="false">
      <c r="A69" s="5" t="s">
        <v>366</v>
      </c>
      <c r="B69" s="5" t="s">
        <v>36</v>
      </c>
      <c r="C69" s="5" t="s">
        <v>367</v>
      </c>
      <c r="D69" s="5" t="s">
        <v>368</v>
      </c>
      <c r="E69" s="5" t="s">
        <v>369</v>
      </c>
      <c r="F69" s="5" t="n">
        <v>74</v>
      </c>
      <c r="G69" s="5" t="s">
        <v>64</v>
      </c>
      <c r="H69" s="5" t="n">
        <v>10</v>
      </c>
      <c r="I69" s="5" t="n">
        <v>34</v>
      </c>
      <c r="J69" s="5" t="s">
        <v>65</v>
      </c>
      <c r="K69" s="5" t="n">
        <v>5</v>
      </c>
      <c r="L69" s="5" t="s">
        <v>42</v>
      </c>
      <c r="M69" s="5"/>
      <c r="N69" s="5" t="s">
        <v>43</v>
      </c>
      <c r="O69" s="5"/>
      <c r="P69" s="5"/>
      <c r="Q69" s="6" t="n">
        <v>0</v>
      </c>
      <c r="R69" s="5"/>
      <c r="S69" s="5"/>
      <c r="T69" s="5" t="s">
        <v>42</v>
      </c>
      <c r="U69" s="5" t="s">
        <v>370</v>
      </c>
      <c r="V69" s="5" t="n">
        <v>-3.806945</v>
      </c>
      <c r="W69" s="5" t="n">
        <v>-38.602655</v>
      </c>
    </row>
    <row r="70" customFormat="false" ht="34.5" hidden="false" customHeight="true" outlineLevel="0" collapsed="false">
      <c r="A70" s="5" t="s">
        <v>371</v>
      </c>
      <c r="B70" s="5" t="s">
        <v>36</v>
      </c>
      <c r="C70" s="5" t="s">
        <v>372</v>
      </c>
      <c r="D70" s="5" t="s">
        <v>373</v>
      </c>
      <c r="E70" s="5" t="s">
        <v>374</v>
      </c>
      <c r="F70" s="5" t="n">
        <v>61</v>
      </c>
      <c r="G70" s="5" t="s">
        <v>330</v>
      </c>
      <c r="H70" s="5" t="n">
        <v>9</v>
      </c>
      <c r="I70" s="5" t="n">
        <v>32</v>
      </c>
      <c r="J70" s="5" t="s">
        <v>65</v>
      </c>
      <c r="K70" s="5" t="n">
        <v>5</v>
      </c>
      <c r="L70" s="5" t="s">
        <v>42</v>
      </c>
      <c r="M70" s="5"/>
      <c r="N70" s="5" t="s">
        <v>43</v>
      </c>
      <c r="O70" s="5"/>
      <c r="P70" s="5"/>
      <c r="Q70" s="6" t="n">
        <v>0</v>
      </c>
      <c r="R70" s="5"/>
      <c r="S70" s="5"/>
      <c r="T70" s="5" t="s">
        <v>42</v>
      </c>
      <c r="U70" s="5" t="s">
        <v>375</v>
      </c>
      <c r="V70" s="5" t="n">
        <v>-3.831655</v>
      </c>
      <c r="W70" s="5" t="n">
        <v>-38.518013</v>
      </c>
    </row>
    <row r="71" customFormat="false" ht="34.5" hidden="false" customHeight="true" outlineLevel="0" collapsed="false">
      <c r="A71" s="5" t="s">
        <v>376</v>
      </c>
      <c r="B71" s="5" t="s">
        <v>36</v>
      </c>
      <c r="C71" s="5" t="s">
        <v>377</v>
      </c>
      <c r="D71" s="5" t="s">
        <v>378</v>
      </c>
      <c r="E71" s="5" t="s">
        <v>379</v>
      </c>
      <c r="F71" s="5" t="n">
        <v>118</v>
      </c>
      <c r="G71" s="5" t="s">
        <v>330</v>
      </c>
      <c r="H71" s="5" t="n">
        <v>6</v>
      </c>
      <c r="I71" s="5" t="n">
        <v>30</v>
      </c>
      <c r="J71" s="5" t="s">
        <v>65</v>
      </c>
      <c r="K71" s="5" t="n">
        <v>5</v>
      </c>
      <c r="L71" s="5" t="s">
        <v>42</v>
      </c>
      <c r="M71" s="5"/>
      <c r="N71" s="5" t="s">
        <v>43</v>
      </c>
      <c r="O71" s="5"/>
      <c r="P71" s="5"/>
      <c r="Q71" s="6" t="n">
        <v>0</v>
      </c>
      <c r="R71" s="5"/>
      <c r="S71" s="5"/>
      <c r="T71" s="5" t="s">
        <v>42</v>
      </c>
      <c r="U71" s="5" t="s">
        <v>380</v>
      </c>
      <c r="V71" s="5" t="n">
        <v>-3.847559</v>
      </c>
      <c r="W71" s="5" t="n">
        <v>-38.481198</v>
      </c>
    </row>
    <row r="72" customFormat="false" ht="34.5" hidden="false" customHeight="true" outlineLevel="0" collapsed="false">
      <c r="A72" s="5" t="s">
        <v>381</v>
      </c>
      <c r="B72" s="5" t="s">
        <v>36</v>
      </c>
      <c r="C72" s="5" t="s">
        <v>382</v>
      </c>
      <c r="D72" s="5" t="s">
        <v>383</v>
      </c>
      <c r="E72" s="5" t="s">
        <v>384</v>
      </c>
      <c r="F72" s="5" t="n">
        <v>94</v>
      </c>
      <c r="G72" s="5" t="s">
        <v>96</v>
      </c>
      <c r="H72" s="5" t="n">
        <v>11</v>
      </c>
      <c r="I72" s="5" t="n">
        <v>36</v>
      </c>
      <c r="J72" s="5" t="s">
        <v>65</v>
      </c>
      <c r="K72" s="5" t="n">
        <v>5</v>
      </c>
      <c r="L72" s="5" t="s">
        <v>44</v>
      </c>
      <c r="M72" s="5" t="s">
        <v>385</v>
      </c>
      <c r="N72" s="5" t="s">
        <v>43</v>
      </c>
      <c r="O72" s="5"/>
      <c r="P72" s="5"/>
      <c r="Q72" s="6" t="n">
        <v>0</v>
      </c>
      <c r="R72" s="5"/>
      <c r="S72" s="5"/>
      <c r="T72" s="5" t="s">
        <v>42</v>
      </c>
      <c r="U72" s="5" t="s">
        <v>386</v>
      </c>
      <c r="V72" s="5" t="n">
        <v>-3.750385</v>
      </c>
      <c r="W72" s="5" t="n">
        <v>-38.562608</v>
      </c>
    </row>
    <row r="73" customFormat="false" ht="34.5" hidden="false" customHeight="true" outlineLevel="0" collapsed="false">
      <c r="A73" s="5" t="s">
        <v>387</v>
      </c>
      <c r="B73" s="5" t="s">
        <v>36</v>
      </c>
      <c r="C73" s="5" t="s">
        <v>388</v>
      </c>
      <c r="D73" s="5" t="s">
        <v>389</v>
      </c>
      <c r="E73" s="5" t="s">
        <v>390</v>
      </c>
      <c r="F73" s="5" t="n">
        <v>73</v>
      </c>
      <c r="G73" s="5" t="s">
        <v>64</v>
      </c>
      <c r="H73" s="5" t="n">
        <v>5</v>
      </c>
      <c r="I73" s="5" t="n">
        <v>39</v>
      </c>
      <c r="J73" s="5" t="s">
        <v>65</v>
      </c>
      <c r="K73" s="5" t="n">
        <v>5</v>
      </c>
      <c r="L73" s="5" t="s">
        <v>42</v>
      </c>
      <c r="M73" s="5"/>
      <c r="N73" s="5" t="s">
        <v>43</v>
      </c>
      <c r="O73" s="5"/>
      <c r="P73" s="5"/>
      <c r="Q73" s="6" t="n">
        <v>0</v>
      </c>
      <c r="R73" s="5"/>
      <c r="S73" s="5"/>
      <c r="T73" s="5" t="s">
        <v>42</v>
      </c>
      <c r="U73" s="5" t="s">
        <v>391</v>
      </c>
      <c r="V73" s="5" t="n">
        <v>-3.779827</v>
      </c>
      <c r="W73" s="5" t="n">
        <v>-38.589604</v>
      </c>
    </row>
    <row r="74" customFormat="false" ht="23.25" hidden="false" customHeight="true" outlineLevel="0" collapsed="false">
      <c r="A74" s="5" t="s">
        <v>392</v>
      </c>
      <c r="B74" s="5" t="s">
        <v>275</v>
      </c>
      <c r="C74" s="5" t="s">
        <v>393</v>
      </c>
      <c r="D74" s="5" t="s">
        <v>394</v>
      </c>
      <c r="E74" s="5" t="s">
        <v>395</v>
      </c>
      <c r="F74" s="5" t="n">
        <v>49</v>
      </c>
      <c r="G74" s="5" t="s">
        <v>330</v>
      </c>
      <c r="H74" s="5" t="n">
        <v>6</v>
      </c>
      <c r="I74" s="5" t="n">
        <v>29</v>
      </c>
      <c r="J74" s="5" t="s">
        <v>41</v>
      </c>
      <c r="K74" s="5" t="n">
        <v>12</v>
      </c>
      <c r="L74" s="5" t="s">
        <v>44</v>
      </c>
      <c r="M74" s="5" t="s">
        <v>97</v>
      </c>
      <c r="N74" s="5" t="s">
        <v>43</v>
      </c>
      <c r="O74" s="5"/>
      <c r="P74" s="5"/>
      <c r="Q74" s="6" t="n">
        <v>0</v>
      </c>
      <c r="R74" s="5"/>
      <c r="S74" s="5"/>
      <c r="T74" s="5" t="s">
        <v>44</v>
      </c>
      <c r="U74" s="5" t="s">
        <v>396</v>
      </c>
      <c r="V74" s="5" t="n">
        <v>-3.817691</v>
      </c>
      <c r="W74" s="5" t="n">
        <v>-38.475974</v>
      </c>
    </row>
    <row r="75" customFormat="false" ht="23.25" hidden="false" customHeight="true" outlineLevel="0" collapsed="false">
      <c r="A75" s="5" t="s">
        <v>397</v>
      </c>
      <c r="B75" s="5" t="s">
        <v>275</v>
      </c>
      <c r="C75" s="5" t="s">
        <v>398</v>
      </c>
      <c r="D75" s="5" t="s">
        <v>399</v>
      </c>
      <c r="E75" s="5" t="s">
        <v>81</v>
      </c>
      <c r="F75" s="5" t="n">
        <v>78</v>
      </c>
      <c r="G75" s="5" t="s">
        <v>64</v>
      </c>
      <c r="H75" s="5" t="n">
        <v>5</v>
      </c>
      <c r="I75" s="5" t="n">
        <v>39</v>
      </c>
      <c r="J75" s="5" t="s">
        <v>41</v>
      </c>
      <c r="K75" s="5" t="n">
        <v>12</v>
      </c>
      <c r="L75" s="5" t="s">
        <v>44</v>
      </c>
      <c r="M75" s="5" t="s">
        <v>385</v>
      </c>
      <c r="N75" s="5" t="s">
        <v>43</v>
      </c>
      <c r="O75" s="5"/>
      <c r="P75" s="5"/>
      <c r="Q75" s="6" t="n">
        <v>0</v>
      </c>
      <c r="R75" s="5"/>
      <c r="S75" s="5"/>
      <c r="T75" s="5" t="s">
        <v>44</v>
      </c>
      <c r="U75" s="5" t="s">
        <v>400</v>
      </c>
      <c r="V75" s="5" t="n">
        <v>-3.784616</v>
      </c>
      <c r="W75" s="5" t="n">
        <v>-38.626701</v>
      </c>
    </row>
    <row r="76" customFormat="false" ht="23.25" hidden="false" customHeight="true" outlineLevel="0" collapsed="false">
      <c r="A76" s="5" t="s">
        <v>401</v>
      </c>
      <c r="B76" s="5" t="s">
        <v>52</v>
      </c>
      <c r="C76" s="5" t="s">
        <v>402</v>
      </c>
      <c r="D76" s="5" t="s">
        <v>403</v>
      </c>
      <c r="E76" s="5" t="s">
        <v>272</v>
      </c>
      <c r="F76" s="5" t="n">
        <v>45</v>
      </c>
      <c r="G76" s="5" t="s">
        <v>96</v>
      </c>
      <c r="H76" s="5" t="n">
        <v>11</v>
      </c>
      <c r="I76" s="5" t="n">
        <v>37</v>
      </c>
      <c r="J76" s="5" t="s">
        <v>41</v>
      </c>
      <c r="K76" s="5" t="n">
        <v>12</v>
      </c>
      <c r="L76" s="5" t="s">
        <v>42</v>
      </c>
      <c r="M76" s="5"/>
      <c r="N76" s="5" t="s">
        <v>43</v>
      </c>
      <c r="O76" s="6" t="n">
        <v>13645.98</v>
      </c>
      <c r="P76" s="5" t="s">
        <v>311</v>
      </c>
      <c r="Q76" s="6" t="n">
        <v>13645.98</v>
      </c>
      <c r="R76" s="5" t="s">
        <v>404</v>
      </c>
      <c r="S76" s="5"/>
      <c r="T76" s="5" t="s">
        <v>44</v>
      </c>
      <c r="U76" s="5" t="s">
        <v>405</v>
      </c>
      <c r="V76" s="5" t="n">
        <v>-3.764841</v>
      </c>
      <c r="W76" s="5" t="n">
        <v>-38.579225</v>
      </c>
    </row>
    <row r="77" customFormat="false" ht="23.25" hidden="false" customHeight="true" outlineLevel="0" collapsed="false">
      <c r="A77" s="5" t="s">
        <v>406</v>
      </c>
      <c r="B77" s="5" t="s">
        <v>52</v>
      </c>
      <c r="C77" s="5" t="s">
        <v>407</v>
      </c>
      <c r="D77" s="5" t="s">
        <v>38</v>
      </c>
      <c r="E77" s="5" t="s">
        <v>39</v>
      </c>
      <c r="F77" s="5" t="n">
        <v>9</v>
      </c>
      <c r="G77" s="5" t="s">
        <v>40</v>
      </c>
      <c r="H77" s="5" t="n">
        <v>1</v>
      </c>
      <c r="I77" s="5" t="n">
        <v>5</v>
      </c>
      <c r="J77" s="5" t="s">
        <v>41</v>
      </c>
      <c r="K77" s="5" t="n">
        <v>12</v>
      </c>
      <c r="L77" s="5" t="s">
        <v>42</v>
      </c>
      <c r="M77" s="5"/>
      <c r="N77" s="5" t="s">
        <v>43</v>
      </c>
      <c r="O77" s="5"/>
      <c r="P77" s="5"/>
      <c r="Q77" s="6" t="n">
        <v>0</v>
      </c>
      <c r="R77" s="5"/>
      <c r="S77" s="5"/>
      <c r="T77" s="5" t="s">
        <v>44</v>
      </c>
      <c r="U77" s="5" t="s">
        <v>45</v>
      </c>
      <c r="V77" s="5" t="n">
        <v>-3.713077</v>
      </c>
      <c r="W77" s="5" t="n">
        <v>-38.555037</v>
      </c>
    </row>
    <row r="78" customFormat="false" ht="23.25" hidden="false" customHeight="true" outlineLevel="0" collapsed="false">
      <c r="A78" s="5" t="s">
        <v>408</v>
      </c>
      <c r="B78" s="5" t="s">
        <v>52</v>
      </c>
      <c r="C78" s="5" t="s">
        <v>409</v>
      </c>
      <c r="D78" s="5" t="s">
        <v>410</v>
      </c>
      <c r="E78" s="5" t="s">
        <v>161</v>
      </c>
      <c r="F78" s="5" t="n">
        <v>79</v>
      </c>
      <c r="G78" s="5" t="s">
        <v>64</v>
      </c>
      <c r="H78" s="5" t="n">
        <v>5</v>
      </c>
      <c r="I78" s="5" t="n">
        <v>39</v>
      </c>
      <c r="J78" s="5" t="s">
        <v>41</v>
      </c>
      <c r="K78" s="5" t="n">
        <v>13</v>
      </c>
      <c r="L78" s="5" t="s">
        <v>42</v>
      </c>
      <c r="M78" s="5"/>
      <c r="N78" s="5" t="s">
        <v>43</v>
      </c>
      <c r="O78" s="5"/>
      <c r="P78" s="5"/>
      <c r="Q78" s="6" t="n">
        <v>0</v>
      </c>
      <c r="R78" s="5"/>
      <c r="S78" s="5"/>
      <c r="T78" s="5" t="s">
        <v>44</v>
      </c>
      <c r="U78" s="5" t="s">
        <v>411</v>
      </c>
      <c r="V78" s="5" t="n">
        <v>-3.777103</v>
      </c>
      <c r="W78" s="5" t="n">
        <v>-38.601816</v>
      </c>
    </row>
    <row r="79" customFormat="false" ht="23.25" hidden="false" customHeight="true" outlineLevel="0" collapsed="false">
      <c r="A79" s="5" t="s">
        <v>412</v>
      </c>
      <c r="B79" s="5" t="s">
        <v>52</v>
      </c>
      <c r="C79" s="5" t="s">
        <v>413</v>
      </c>
      <c r="D79" s="5" t="s">
        <v>414</v>
      </c>
      <c r="E79" s="5" t="s">
        <v>185</v>
      </c>
      <c r="F79" s="5" t="n">
        <v>25</v>
      </c>
      <c r="G79" s="5" t="s">
        <v>96</v>
      </c>
      <c r="H79" s="5" t="n">
        <v>3</v>
      </c>
      <c r="I79" s="5" t="n">
        <v>13</v>
      </c>
      <c r="J79" s="5" t="s">
        <v>41</v>
      </c>
      <c r="K79" s="5" t="n">
        <v>15</v>
      </c>
      <c r="L79" s="5" t="s">
        <v>42</v>
      </c>
      <c r="M79" s="5"/>
      <c r="N79" s="5" t="s">
        <v>43</v>
      </c>
      <c r="O79" s="6" t="n">
        <v>89337.6</v>
      </c>
      <c r="P79" s="5" t="s">
        <v>311</v>
      </c>
      <c r="Q79" s="6" t="n">
        <v>89337.6</v>
      </c>
      <c r="R79" s="5" t="s">
        <v>415</v>
      </c>
      <c r="S79" s="5"/>
      <c r="T79" s="5" t="s">
        <v>44</v>
      </c>
      <c r="U79" s="5" t="s">
        <v>416</v>
      </c>
      <c r="V79" s="5" t="n">
        <v>-3.722184</v>
      </c>
      <c r="W79" s="5" t="n">
        <v>-38.557389</v>
      </c>
    </row>
    <row r="80" customFormat="false" ht="23.25" hidden="false" customHeight="true" outlineLevel="0" collapsed="false">
      <c r="A80" s="5" t="s">
        <v>417</v>
      </c>
      <c r="B80" s="5" t="s">
        <v>52</v>
      </c>
      <c r="C80" s="5" t="s">
        <v>418</v>
      </c>
      <c r="D80" s="5" t="s">
        <v>165</v>
      </c>
      <c r="E80" s="5" t="s">
        <v>166</v>
      </c>
      <c r="F80" s="5" t="n">
        <v>84</v>
      </c>
      <c r="G80" s="5" t="s">
        <v>71</v>
      </c>
      <c r="H80" s="5" t="n">
        <v>8</v>
      </c>
      <c r="I80" s="5" t="n">
        <v>20</v>
      </c>
      <c r="J80" s="5" t="s">
        <v>57</v>
      </c>
      <c r="K80" s="5" t="n">
        <v>14</v>
      </c>
      <c r="L80" s="5" t="s">
        <v>42</v>
      </c>
      <c r="M80" s="5"/>
      <c r="N80" s="5" t="s">
        <v>58</v>
      </c>
      <c r="O80" s="5"/>
      <c r="P80" s="5"/>
      <c r="Q80" s="5"/>
      <c r="R80" s="5"/>
      <c r="S80" s="5"/>
      <c r="T80" s="5" t="s">
        <v>44</v>
      </c>
      <c r="U80" s="5" t="s">
        <v>167</v>
      </c>
      <c r="V80" s="5" t="n">
        <v>-3.799207</v>
      </c>
      <c r="W80" s="5" t="n">
        <v>-38.545983</v>
      </c>
    </row>
    <row r="81" customFormat="false" ht="23.25" hidden="false" customHeight="true" outlineLevel="0" collapsed="false">
      <c r="A81" s="5" t="s">
        <v>419</v>
      </c>
      <c r="B81" s="5" t="s">
        <v>52</v>
      </c>
      <c r="C81" s="5" t="s">
        <v>420</v>
      </c>
      <c r="D81" s="5" t="s">
        <v>421</v>
      </c>
      <c r="E81" s="5" t="s">
        <v>422</v>
      </c>
      <c r="F81" s="5" t="n">
        <v>68</v>
      </c>
      <c r="G81" s="5" t="s">
        <v>330</v>
      </c>
      <c r="H81" s="5" t="n">
        <v>6</v>
      </c>
      <c r="I81" s="5" t="n">
        <v>30</v>
      </c>
      <c r="J81" s="5" t="s">
        <v>41</v>
      </c>
      <c r="K81" s="5" t="n">
        <v>23</v>
      </c>
      <c r="L81" s="5" t="s">
        <v>42</v>
      </c>
      <c r="M81" s="5"/>
      <c r="N81" s="5" t="s">
        <v>43</v>
      </c>
      <c r="O81" s="6" t="n">
        <v>124237.2</v>
      </c>
      <c r="P81" s="5" t="s">
        <v>311</v>
      </c>
      <c r="Q81" s="6" t="n">
        <v>124237.2</v>
      </c>
      <c r="R81" s="5" t="s">
        <v>423</v>
      </c>
      <c r="S81" s="5"/>
      <c r="T81" s="5" t="s">
        <v>44</v>
      </c>
      <c r="U81" s="5" t="s">
        <v>424</v>
      </c>
      <c r="V81" s="5" t="n">
        <v>-3.841856</v>
      </c>
      <c r="W81" s="5" t="n">
        <v>-38.486591</v>
      </c>
    </row>
    <row r="82" customFormat="false" ht="23.25" hidden="false" customHeight="true" outlineLevel="0" collapsed="false">
      <c r="A82" s="5" t="s">
        <v>425</v>
      </c>
      <c r="B82" s="5" t="s">
        <v>36</v>
      </c>
      <c r="C82" s="5" t="s">
        <v>426</v>
      </c>
      <c r="D82" s="5" t="s">
        <v>427</v>
      </c>
      <c r="E82" s="5" t="s">
        <v>395</v>
      </c>
      <c r="F82" s="5" t="n">
        <v>49</v>
      </c>
      <c r="G82" s="5" t="s">
        <v>330</v>
      </c>
      <c r="H82" s="5" t="n">
        <v>6</v>
      </c>
      <c r="I82" s="5" t="n">
        <v>29</v>
      </c>
      <c r="J82" s="5"/>
      <c r="K82" s="5" t="n">
        <v>5</v>
      </c>
      <c r="L82" s="5" t="s">
        <v>42</v>
      </c>
      <c r="M82" s="5"/>
      <c r="N82" s="5" t="s">
        <v>43</v>
      </c>
      <c r="O82" s="5"/>
      <c r="P82" s="5"/>
      <c r="Q82" s="6" t="n">
        <v>0</v>
      </c>
      <c r="R82" s="5"/>
      <c r="S82" s="5"/>
      <c r="T82" s="5" t="s">
        <v>42</v>
      </c>
      <c r="U82" s="5" t="s">
        <v>428</v>
      </c>
      <c r="V82" s="5" t="n">
        <v>-3.816031</v>
      </c>
      <c r="W82" s="5" t="n">
        <v>-38.476783</v>
      </c>
    </row>
    <row r="83" customFormat="false" ht="23.25" hidden="false" customHeight="true" outlineLevel="0" collapsed="false">
      <c r="A83" s="5" t="s">
        <v>429</v>
      </c>
      <c r="B83" s="5" t="s">
        <v>52</v>
      </c>
      <c r="C83" s="5" t="s">
        <v>430</v>
      </c>
      <c r="D83" s="5" t="s">
        <v>431</v>
      </c>
      <c r="E83" s="5" t="s">
        <v>161</v>
      </c>
      <c r="F83" s="5" t="n">
        <v>79</v>
      </c>
      <c r="G83" s="5" t="s">
        <v>64</v>
      </c>
      <c r="H83" s="5" t="n">
        <v>5</v>
      </c>
      <c r="I83" s="5" t="n">
        <v>39</v>
      </c>
      <c r="J83" s="5"/>
      <c r="K83" s="5" t="n">
        <v>5</v>
      </c>
      <c r="L83" s="5" t="s">
        <v>42</v>
      </c>
      <c r="M83" s="5"/>
      <c r="N83" s="5" t="s">
        <v>43</v>
      </c>
      <c r="O83" s="5"/>
      <c r="P83" s="5"/>
      <c r="Q83" s="6" t="n">
        <v>0</v>
      </c>
      <c r="R83" s="5"/>
      <c r="S83" s="5"/>
      <c r="T83" s="5" t="s">
        <v>42</v>
      </c>
      <c r="U83" s="5" t="s">
        <v>432</v>
      </c>
      <c r="V83" s="5" t="n">
        <v>-3.777328</v>
      </c>
      <c r="W83" s="5" t="n">
        <v>-38.601177</v>
      </c>
    </row>
    <row r="84" customFormat="false" ht="23.25" hidden="false" customHeight="true" outlineLevel="0" collapsed="false">
      <c r="A84" s="5" t="s">
        <v>433</v>
      </c>
      <c r="B84" s="5" t="s">
        <v>36</v>
      </c>
      <c r="C84" s="5" t="s">
        <v>434</v>
      </c>
      <c r="D84" s="5" t="s">
        <v>435</v>
      </c>
      <c r="E84" s="5" t="s">
        <v>151</v>
      </c>
      <c r="F84" s="5" t="n">
        <v>35</v>
      </c>
      <c r="G84" s="5" t="s">
        <v>56</v>
      </c>
      <c r="H84" s="5" t="n">
        <v>2</v>
      </c>
      <c r="I84" s="5" t="n">
        <v>10</v>
      </c>
      <c r="J84" s="5" t="s">
        <v>41</v>
      </c>
      <c r="K84" s="5" t="n">
        <v>3</v>
      </c>
      <c r="L84" s="5" t="s">
        <v>42</v>
      </c>
      <c r="M84" s="5"/>
      <c r="N84" s="5" t="s">
        <v>436</v>
      </c>
      <c r="O84" s="6" t="n">
        <v>19734.89</v>
      </c>
      <c r="P84" s="5" t="s">
        <v>311</v>
      </c>
      <c r="Q84" s="6" t="n">
        <v>19734.89</v>
      </c>
      <c r="R84" s="5" t="s">
        <v>437</v>
      </c>
      <c r="S84" s="5"/>
      <c r="T84" s="5" t="s">
        <v>44</v>
      </c>
      <c r="U84" s="5" t="s">
        <v>438</v>
      </c>
      <c r="V84" s="5" t="n">
        <v>-3.761269</v>
      </c>
      <c r="W84" s="5" t="n">
        <v>-38.513709</v>
      </c>
    </row>
    <row r="85" customFormat="false" ht="23.25" hidden="false" customHeight="true" outlineLevel="0" collapsed="false">
      <c r="A85" s="5" t="s">
        <v>439</v>
      </c>
      <c r="B85" s="5" t="s">
        <v>36</v>
      </c>
      <c r="C85" s="5" t="s">
        <v>440</v>
      </c>
      <c r="D85" s="5" t="s">
        <v>441</v>
      </c>
      <c r="E85" s="5" t="s">
        <v>213</v>
      </c>
      <c r="F85" s="5" t="n">
        <v>100</v>
      </c>
      <c r="G85" s="5" t="s">
        <v>71</v>
      </c>
      <c r="H85" s="5" t="n">
        <v>8</v>
      </c>
      <c r="I85" s="5" t="n">
        <v>19</v>
      </c>
      <c r="J85" s="5" t="s">
        <v>41</v>
      </c>
      <c r="K85" s="5" t="n">
        <v>4</v>
      </c>
      <c r="L85" s="5" t="s">
        <v>42</v>
      </c>
      <c r="M85" s="5"/>
      <c r="N85" s="5" t="s">
        <v>436</v>
      </c>
      <c r="O85" s="5" t="s">
        <v>442</v>
      </c>
      <c r="P85" s="5" t="s">
        <v>311</v>
      </c>
      <c r="Q85" s="6" t="n">
        <v>0</v>
      </c>
      <c r="R85" s="5"/>
      <c r="S85" s="5"/>
      <c r="T85" s="5" t="s">
        <v>44</v>
      </c>
      <c r="U85" s="5" t="s">
        <v>443</v>
      </c>
      <c r="V85" s="5" t="n">
        <v>-3.782364</v>
      </c>
      <c r="W85" s="5" t="n">
        <v>-38.561523</v>
      </c>
    </row>
    <row r="86" customFormat="false" ht="23.25" hidden="false" customHeight="true" outlineLevel="0" collapsed="false">
      <c r="A86" s="5" t="s">
        <v>444</v>
      </c>
      <c r="B86" s="5" t="s">
        <v>52</v>
      </c>
      <c r="C86" s="5" t="s">
        <v>445</v>
      </c>
      <c r="D86" s="5" t="s">
        <v>446</v>
      </c>
      <c r="E86" s="5" t="s">
        <v>447</v>
      </c>
      <c r="F86" s="5" t="n">
        <v>21</v>
      </c>
      <c r="G86" s="5" t="s">
        <v>40</v>
      </c>
      <c r="H86" s="5" t="n">
        <v>1</v>
      </c>
      <c r="I86" s="5" t="n">
        <v>6</v>
      </c>
      <c r="J86" s="5" t="s">
        <v>41</v>
      </c>
      <c r="K86" s="5" t="n">
        <v>5</v>
      </c>
      <c r="L86" s="5" t="s">
        <v>42</v>
      </c>
      <c r="M86" s="5"/>
      <c r="N86" s="5" t="s">
        <v>436</v>
      </c>
      <c r="O86" s="6" t="n">
        <v>11115.03</v>
      </c>
      <c r="P86" s="5" t="s">
        <v>311</v>
      </c>
      <c r="Q86" s="6" t="n">
        <v>11115.03</v>
      </c>
      <c r="R86" s="5" t="s">
        <v>448</v>
      </c>
      <c r="S86" s="5"/>
      <c r="T86" s="5" t="s">
        <v>44</v>
      </c>
      <c r="U86" s="5" t="s">
        <v>449</v>
      </c>
      <c r="V86" s="5" t="n">
        <v>-3.72536</v>
      </c>
      <c r="W86" s="5" t="n">
        <v>-38.584389</v>
      </c>
    </row>
    <row r="87" customFormat="false" ht="23.25" hidden="false" customHeight="true" outlineLevel="0" collapsed="false">
      <c r="A87" s="5" t="s">
        <v>450</v>
      </c>
      <c r="B87" s="5" t="s">
        <v>36</v>
      </c>
      <c r="C87" s="5" t="s">
        <v>451</v>
      </c>
      <c r="D87" s="5" t="s">
        <v>452</v>
      </c>
      <c r="E87" s="5" t="s">
        <v>356</v>
      </c>
      <c r="F87" s="5" t="n">
        <v>117</v>
      </c>
      <c r="G87" s="5" t="s">
        <v>330</v>
      </c>
      <c r="H87" s="5" t="n">
        <v>9</v>
      </c>
      <c r="I87" s="5" t="n">
        <v>32</v>
      </c>
      <c r="J87" s="5"/>
      <c r="K87" s="5" t="n">
        <v>5</v>
      </c>
      <c r="L87" s="5" t="s">
        <v>42</v>
      </c>
      <c r="M87" s="5"/>
      <c r="N87" s="5" t="s">
        <v>43</v>
      </c>
      <c r="O87" s="5"/>
      <c r="P87" s="5"/>
      <c r="Q87" s="6" t="n">
        <v>0</v>
      </c>
      <c r="R87" s="5"/>
      <c r="S87" s="5"/>
      <c r="T87" s="5" t="s">
        <v>42</v>
      </c>
      <c r="U87" s="5" t="s">
        <v>453</v>
      </c>
      <c r="V87" s="5" t="n">
        <v>-3.846545</v>
      </c>
      <c r="W87" s="5" t="n">
        <v>-38.522731</v>
      </c>
    </row>
    <row r="88" customFormat="false" ht="23.25" hidden="false" customHeight="true" outlineLevel="0" collapsed="false">
      <c r="A88" s="5" t="s">
        <v>454</v>
      </c>
      <c r="B88" s="5" t="s">
        <v>36</v>
      </c>
      <c r="C88" s="5" t="s">
        <v>455</v>
      </c>
      <c r="D88" s="5" t="s">
        <v>456</v>
      </c>
      <c r="E88" s="5" t="s">
        <v>457</v>
      </c>
      <c r="F88" s="5" t="n">
        <v>32</v>
      </c>
      <c r="G88" s="5" t="s">
        <v>40</v>
      </c>
      <c r="H88" s="5" t="n">
        <v>12</v>
      </c>
      <c r="I88" s="5" t="n">
        <v>1</v>
      </c>
      <c r="J88" s="5"/>
      <c r="K88" s="5" t="n">
        <v>5</v>
      </c>
      <c r="L88" s="5" t="s">
        <v>42</v>
      </c>
      <c r="M88" s="5"/>
      <c r="N88" s="5" t="s">
        <v>43</v>
      </c>
      <c r="O88" s="5"/>
      <c r="P88" s="5"/>
      <c r="Q88" s="6" t="n">
        <v>0</v>
      </c>
      <c r="R88" s="5"/>
      <c r="S88" s="5"/>
      <c r="T88" s="5" t="s">
        <v>42</v>
      </c>
      <c r="U88" s="5" t="s">
        <v>458</v>
      </c>
      <c r="V88" s="5" t="n">
        <v>-3.719624</v>
      </c>
      <c r="W88" s="5" t="n">
        <v>-38.515523</v>
      </c>
    </row>
    <row r="89" customFormat="false" ht="23.25" hidden="false" customHeight="true" outlineLevel="0" collapsed="false">
      <c r="A89" s="5" t="s">
        <v>459</v>
      </c>
      <c r="B89" s="5" t="s">
        <v>300</v>
      </c>
      <c r="C89" s="5" t="s">
        <v>460</v>
      </c>
      <c r="D89" s="5" t="s">
        <v>461</v>
      </c>
      <c r="E89" s="5" t="s">
        <v>161</v>
      </c>
      <c r="F89" s="5" t="n">
        <v>79</v>
      </c>
      <c r="G89" s="5" t="s">
        <v>64</v>
      </c>
      <c r="H89" s="5" t="n">
        <v>5</v>
      </c>
      <c r="I89" s="5" t="n">
        <v>39</v>
      </c>
      <c r="J89" s="5"/>
      <c r="K89" s="5" t="n">
        <v>5</v>
      </c>
      <c r="L89" s="5" t="s">
        <v>42</v>
      </c>
      <c r="M89" s="5"/>
      <c r="N89" s="5" t="s">
        <v>43</v>
      </c>
      <c r="O89" s="5"/>
      <c r="P89" s="5"/>
      <c r="Q89" s="6" t="n">
        <v>0</v>
      </c>
      <c r="R89" s="5"/>
      <c r="S89" s="5"/>
      <c r="T89" s="5" t="s">
        <v>42</v>
      </c>
      <c r="U89" s="5" t="s">
        <v>462</v>
      </c>
      <c r="V89" s="5" t="n">
        <v>-3.786493</v>
      </c>
      <c r="W89" s="5" t="n">
        <v>-38.603878</v>
      </c>
    </row>
    <row r="90" customFormat="false" ht="23.25" hidden="false" customHeight="true" outlineLevel="0" collapsed="false">
      <c r="A90" s="5" t="s">
        <v>463</v>
      </c>
      <c r="B90" s="5" t="s">
        <v>36</v>
      </c>
      <c r="C90" s="5" t="s">
        <v>464</v>
      </c>
      <c r="D90" s="5" t="s">
        <v>465</v>
      </c>
      <c r="E90" s="5" t="s">
        <v>81</v>
      </c>
      <c r="F90" s="5" t="n">
        <v>78</v>
      </c>
      <c r="G90" s="5" t="s">
        <v>64</v>
      </c>
      <c r="H90" s="5" t="n">
        <v>5</v>
      </c>
      <c r="I90" s="5" t="n">
        <v>39</v>
      </c>
      <c r="J90" s="5"/>
      <c r="K90" s="5" t="n">
        <v>5</v>
      </c>
      <c r="L90" s="5" t="s">
        <v>42</v>
      </c>
      <c r="M90" s="5"/>
      <c r="N90" s="5" t="s">
        <v>43</v>
      </c>
      <c r="O90" s="5"/>
      <c r="P90" s="5"/>
      <c r="Q90" s="6" t="n">
        <v>0</v>
      </c>
      <c r="R90" s="5"/>
      <c r="S90" s="5"/>
      <c r="T90" s="5" t="s">
        <v>42</v>
      </c>
      <c r="U90" s="5" t="s">
        <v>466</v>
      </c>
      <c r="V90" s="5" t="n">
        <v>-3.788126</v>
      </c>
      <c r="W90" s="5" t="n">
        <v>-38.609522</v>
      </c>
    </row>
    <row r="91" customFormat="false" ht="23.25" hidden="false" customHeight="true" outlineLevel="0" collapsed="false">
      <c r="A91" s="5" t="s">
        <v>467</v>
      </c>
      <c r="B91" s="5" t="s">
        <v>36</v>
      </c>
      <c r="C91" s="5" t="s">
        <v>468</v>
      </c>
      <c r="D91" s="5" t="s">
        <v>469</v>
      </c>
      <c r="E91" s="5" t="s">
        <v>161</v>
      </c>
      <c r="F91" s="5" t="n">
        <v>79</v>
      </c>
      <c r="G91" s="5" t="s">
        <v>64</v>
      </c>
      <c r="H91" s="5" t="n">
        <v>5</v>
      </c>
      <c r="I91" s="5" t="n">
        <v>39</v>
      </c>
      <c r="J91" s="5"/>
      <c r="K91" s="5" t="n">
        <v>5</v>
      </c>
      <c r="L91" s="5" t="s">
        <v>42</v>
      </c>
      <c r="M91" s="5"/>
      <c r="N91" s="5" t="s">
        <v>43</v>
      </c>
      <c r="O91" s="5"/>
      <c r="P91" s="5"/>
      <c r="Q91" s="6" t="n">
        <v>0</v>
      </c>
      <c r="R91" s="5"/>
      <c r="S91" s="5"/>
      <c r="T91" s="5" t="s">
        <v>42</v>
      </c>
      <c r="U91" s="5" t="s">
        <v>470</v>
      </c>
      <c r="V91" s="5" t="n">
        <v>-3.78178</v>
      </c>
      <c r="W91" s="5" t="n">
        <v>-38.602544</v>
      </c>
    </row>
    <row r="92" customFormat="false" ht="23.25" hidden="false" customHeight="true" outlineLevel="0" collapsed="false">
      <c r="A92" s="5" t="s">
        <v>471</v>
      </c>
      <c r="B92" s="5" t="s">
        <v>36</v>
      </c>
      <c r="C92" s="5" t="s">
        <v>472</v>
      </c>
      <c r="D92" s="5" t="s">
        <v>473</v>
      </c>
      <c r="E92" s="5" t="s">
        <v>474</v>
      </c>
      <c r="F92" s="5" t="n">
        <v>5</v>
      </c>
      <c r="G92" s="5" t="s">
        <v>40</v>
      </c>
      <c r="H92" s="5" t="n">
        <v>12</v>
      </c>
      <c r="I92" s="5" t="n">
        <v>1</v>
      </c>
      <c r="J92" s="5" t="s">
        <v>41</v>
      </c>
      <c r="K92" s="5" t="n">
        <v>5</v>
      </c>
      <c r="L92" s="5" t="s">
        <v>42</v>
      </c>
      <c r="M92" s="5"/>
      <c r="N92" s="5" t="s">
        <v>436</v>
      </c>
      <c r="O92" s="6" t="n">
        <v>20291.46</v>
      </c>
      <c r="P92" s="5" t="s">
        <v>311</v>
      </c>
      <c r="Q92" s="6" t="n">
        <v>20291.46</v>
      </c>
      <c r="R92" s="5" t="s">
        <v>475</v>
      </c>
      <c r="S92" s="5"/>
      <c r="T92" s="5" t="s">
        <v>44</v>
      </c>
      <c r="U92" s="5" t="s">
        <v>476</v>
      </c>
      <c r="V92" s="5" t="n">
        <v>-3.71966</v>
      </c>
      <c r="W92" s="5" t="n">
        <v>-38.53512</v>
      </c>
    </row>
    <row r="93" customFormat="false" ht="23.25" hidden="false" customHeight="true" outlineLevel="0" collapsed="false">
      <c r="A93" s="5" t="s">
        <v>477</v>
      </c>
      <c r="B93" s="5" t="s">
        <v>300</v>
      </c>
      <c r="C93" s="5" t="s">
        <v>478</v>
      </c>
      <c r="D93" s="5" t="s">
        <v>479</v>
      </c>
      <c r="E93" s="5" t="s">
        <v>161</v>
      </c>
      <c r="F93" s="5" t="n">
        <v>79</v>
      </c>
      <c r="G93" s="5" t="s">
        <v>64</v>
      </c>
      <c r="H93" s="5" t="n">
        <v>5</v>
      </c>
      <c r="I93" s="5" t="n">
        <v>39</v>
      </c>
      <c r="J93" s="5"/>
      <c r="K93" s="5" t="n">
        <v>5</v>
      </c>
      <c r="L93" s="5" t="s">
        <v>42</v>
      </c>
      <c r="M93" s="5"/>
      <c r="N93" s="5" t="s">
        <v>43</v>
      </c>
      <c r="O93" s="5"/>
      <c r="P93" s="5"/>
      <c r="Q93" s="6" t="n">
        <v>0</v>
      </c>
      <c r="R93" s="5"/>
      <c r="S93" s="5"/>
      <c r="T93" s="5" t="s">
        <v>42</v>
      </c>
      <c r="U93" s="5" t="s">
        <v>480</v>
      </c>
      <c r="V93" s="5" t="n">
        <v>-3.77712</v>
      </c>
      <c r="W93" s="5" t="n">
        <v>-38.601468</v>
      </c>
    </row>
    <row r="94" customFormat="false" ht="34.5" hidden="false" customHeight="true" outlineLevel="0" collapsed="false">
      <c r="A94" s="5" t="s">
        <v>481</v>
      </c>
      <c r="B94" s="5" t="s">
        <v>300</v>
      </c>
      <c r="C94" s="5" t="s">
        <v>482</v>
      </c>
      <c r="D94" s="5" t="s">
        <v>483</v>
      </c>
      <c r="E94" s="5" t="s">
        <v>484</v>
      </c>
      <c r="F94" s="5" t="n">
        <v>85</v>
      </c>
      <c r="G94" s="5" t="s">
        <v>64</v>
      </c>
      <c r="H94" s="5" t="n">
        <v>10</v>
      </c>
      <c r="I94" s="5" t="n">
        <v>34</v>
      </c>
      <c r="J94" s="5"/>
      <c r="K94" s="5" t="n">
        <v>5</v>
      </c>
      <c r="L94" s="5" t="s">
        <v>42</v>
      </c>
      <c r="M94" s="5"/>
      <c r="N94" s="5" t="s">
        <v>43</v>
      </c>
      <c r="O94" s="5"/>
      <c r="P94" s="5"/>
      <c r="Q94" s="6" t="n">
        <v>0</v>
      </c>
      <c r="R94" s="5"/>
      <c r="S94" s="5"/>
      <c r="T94" s="5" t="s">
        <v>42</v>
      </c>
      <c r="U94" s="5" t="s">
        <v>485</v>
      </c>
      <c r="V94" s="5" t="n">
        <v>-3.830201</v>
      </c>
      <c r="W94" s="5" t="n">
        <v>-38.598411</v>
      </c>
    </row>
    <row r="95" customFormat="false" ht="23.25" hidden="false" customHeight="true" outlineLevel="0" collapsed="false">
      <c r="A95" s="5" t="s">
        <v>486</v>
      </c>
      <c r="B95" s="5" t="s">
        <v>36</v>
      </c>
      <c r="C95" s="5" t="s">
        <v>487</v>
      </c>
      <c r="D95" s="5" t="s">
        <v>488</v>
      </c>
      <c r="E95" s="5" t="s">
        <v>236</v>
      </c>
      <c r="F95" s="5" t="n">
        <v>122</v>
      </c>
      <c r="G95" s="5" t="s">
        <v>64</v>
      </c>
      <c r="H95" s="5" t="n">
        <v>10</v>
      </c>
      <c r="I95" s="5" t="n">
        <v>34</v>
      </c>
      <c r="J95" s="5"/>
      <c r="K95" s="5" t="n">
        <v>5</v>
      </c>
      <c r="L95" s="5" t="s">
        <v>42</v>
      </c>
      <c r="M95" s="5"/>
      <c r="N95" s="5" t="s">
        <v>43</v>
      </c>
      <c r="O95" s="5"/>
      <c r="P95" s="5"/>
      <c r="Q95" s="6" t="n">
        <v>0</v>
      </c>
      <c r="R95" s="5"/>
      <c r="S95" s="5"/>
      <c r="T95" s="5" t="s">
        <v>42</v>
      </c>
      <c r="U95" s="5" t="s">
        <v>489</v>
      </c>
      <c r="V95" s="5" t="n">
        <v>-3.830004</v>
      </c>
      <c r="W95" s="5" t="n">
        <v>-38.591145</v>
      </c>
    </row>
    <row r="96" customFormat="false" ht="23.25" hidden="false" customHeight="true" outlineLevel="0" collapsed="false">
      <c r="A96" s="5" t="s">
        <v>490</v>
      </c>
      <c r="B96" s="5" t="s">
        <v>52</v>
      </c>
      <c r="C96" s="5" t="s">
        <v>491</v>
      </c>
      <c r="D96" s="5" t="s">
        <v>492</v>
      </c>
      <c r="E96" s="5" t="s">
        <v>493</v>
      </c>
      <c r="F96" s="5" t="n">
        <v>47</v>
      </c>
      <c r="G96" s="5" t="s">
        <v>96</v>
      </c>
      <c r="H96" s="5" t="n">
        <v>3</v>
      </c>
      <c r="I96" s="5" t="n">
        <v>12</v>
      </c>
      <c r="J96" s="5" t="s">
        <v>41</v>
      </c>
      <c r="K96" s="5" t="n">
        <v>7</v>
      </c>
      <c r="L96" s="5" t="s">
        <v>42</v>
      </c>
      <c r="M96" s="5"/>
      <c r="N96" s="5" t="s">
        <v>436</v>
      </c>
      <c r="O96" s="6" t="n">
        <v>15671.42</v>
      </c>
      <c r="P96" s="5" t="s">
        <v>311</v>
      </c>
      <c r="Q96" s="6" t="n">
        <v>15671.42</v>
      </c>
      <c r="R96" s="5" t="s">
        <v>494</v>
      </c>
      <c r="S96" s="5"/>
      <c r="T96" s="5" t="s">
        <v>44</v>
      </c>
      <c r="U96" s="5" t="s">
        <v>495</v>
      </c>
      <c r="V96" s="5" t="n">
        <v>-3.739251</v>
      </c>
      <c r="W96" s="5" t="n">
        <v>-38.579972</v>
      </c>
    </row>
    <row r="97" customFormat="false" ht="23.25" hidden="false" customHeight="true" outlineLevel="0" collapsed="false">
      <c r="A97" s="5" t="s">
        <v>496</v>
      </c>
      <c r="B97" s="5" t="s">
        <v>36</v>
      </c>
      <c r="C97" s="5" t="s">
        <v>497</v>
      </c>
      <c r="D97" s="5" t="s">
        <v>498</v>
      </c>
      <c r="E97" s="5" t="s">
        <v>190</v>
      </c>
      <c r="F97" s="5" t="n">
        <v>57</v>
      </c>
      <c r="G97" s="5" t="s">
        <v>56</v>
      </c>
      <c r="H97" s="5" t="n">
        <v>7</v>
      </c>
      <c r="I97" s="5" t="n">
        <v>25</v>
      </c>
      <c r="J97" s="5"/>
      <c r="K97" s="5" t="n">
        <v>6</v>
      </c>
      <c r="L97" s="5" t="s">
        <v>44</v>
      </c>
      <c r="M97" s="5" t="s">
        <v>97</v>
      </c>
      <c r="N97" s="5" t="s">
        <v>43</v>
      </c>
      <c r="O97" s="5"/>
      <c r="P97" s="5"/>
      <c r="Q97" s="6" t="n">
        <v>0</v>
      </c>
      <c r="R97" s="5"/>
      <c r="S97" s="5"/>
      <c r="T97" s="5" t="s">
        <v>42</v>
      </c>
      <c r="U97" s="5" t="s">
        <v>499</v>
      </c>
      <c r="V97" s="5" t="n">
        <v>-3.789359</v>
      </c>
      <c r="W97" s="5" t="n">
        <v>-38.448965</v>
      </c>
    </row>
    <row r="98" customFormat="false" ht="34.5" hidden="false" customHeight="true" outlineLevel="0" collapsed="false">
      <c r="A98" s="5" t="s">
        <v>500</v>
      </c>
      <c r="B98" s="5" t="s">
        <v>36</v>
      </c>
      <c r="C98" s="5" t="s">
        <v>501</v>
      </c>
      <c r="D98" s="5" t="s">
        <v>502</v>
      </c>
      <c r="E98" s="5" t="s">
        <v>156</v>
      </c>
      <c r="F98" s="5" t="n">
        <v>6</v>
      </c>
      <c r="G98" s="5" t="s">
        <v>40</v>
      </c>
      <c r="H98" s="5" t="n">
        <v>1</v>
      </c>
      <c r="I98" s="5" t="n">
        <v>3</v>
      </c>
      <c r="J98" s="5" t="s">
        <v>65</v>
      </c>
      <c r="K98" s="5" t="n">
        <v>6</v>
      </c>
      <c r="L98" s="5" t="s">
        <v>42</v>
      </c>
      <c r="M98" s="5"/>
      <c r="N98" s="5" t="s">
        <v>43</v>
      </c>
      <c r="O98" s="5"/>
      <c r="P98" s="5"/>
      <c r="Q98" s="6" t="n">
        <v>0</v>
      </c>
      <c r="R98" s="5"/>
      <c r="S98" s="5"/>
      <c r="T98" s="5" t="s">
        <v>42</v>
      </c>
      <c r="U98" s="5" t="s">
        <v>503</v>
      </c>
      <c r="V98" s="5" t="n">
        <v>-3.700712</v>
      </c>
      <c r="W98" s="5" t="n">
        <v>-38.585599</v>
      </c>
    </row>
    <row r="99" customFormat="false" ht="34.5" hidden="false" customHeight="true" outlineLevel="0" collapsed="false">
      <c r="A99" s="5" t="s">
        <v>504</v>
      </c>
      <c r="B99" s="5" t="s">
        <v>36</v>
      </c>
      <c r="C99" s="5" t="s">
        <v>505</v>
      </c>
      <c r="D99" s="5" t="s">
        <v>506</v>
      </c>
      <c r="E99" s="5" t="s">
        <v>507</v>
      </c>
      <c r="F99" s="5" t="n">
        <v>20</v>
      </c>
      <c r="G99" s="5" t="s">
        <v>40</v>
      </c>
      <c r="H99" s="5" t="n">
        <v>1</v>
      </c>
      <c r="I99" s="5" t="n">
        <v>2</v>
      </c>
      <c r="J99" s="5" t="s">
        <v>65</v>
      </c>
      <c r="K99" s="5" t="n">
        <v>6</v>
      </c>
      <c r="L99" s="5" t="s">
        <v>42</v>
      </c>
      <c r="M99" s="5"/>
      <c r="N99" s="5" t="s">
        <v>43</v>
      </c>
      <c r="O99" s="5"/>
      <c r="P99" s="5"/>
      <c r="Q99" s="6" t="n">
        <v>0</v>
      </c>
      <c r="R99" s="5"/>
      <c r="S99" s="5"/>
      <c r="T99" s="5" t="s">
        <v>42</v>
      </c>
      <c r="U99" s="5" t="s">
        <v>508</v>
      </c>
      <c r="V99" s="5" t="n">
        <v>-3.72198</v>
      </c>
      <c r="W99" s="5" t="n">
        <v>-38.591448</v>
      </c>
    </row>
    <row r="100" customFormat="false" ht="23.25" hidden="false" customHeight="true" outlineLevel="0" collapsed="false">
      <c r="A100" s="5" t="s">
        <v>509</v>
      </c>
      <c r="B100" s="5" t="s">
        <v>52</v>
      </c>
      <c r="C100" s="5" t="s">
        <v>510</v>
      </c>
      <c r="D100" s="5" t="s">
        <v>511</v>
      </c>
      <c r="E100" s="5" t="s">
        <v>63</v>
      </c>
      <c r="F100" s="5" t="n">
        <v>121</v>
      </c>
      <c r="G100" s="5" t="s">
        <v>64</v>
      </c>
      <c r="H100" s="5" t="n">
        <v>10</v>
      </c>
      <c r="I100" s="5" t="n">
        <v>34</v>
      </c>
      <c r="J100" s="5" t="s">
        <v>41</v>
      </c>
      <c r="K100" s="5" t="n">
        <v>7</v>
      </c>
      <c r="L100" s="5" t="s">
        <v>42</v>
      </c>
      <c r="M100" s="5"/>
      <c r="N100" s="5" t="s">
        <v>436</v>
      </c>
      <c r="O100" s="6" t="n">
        <v>29670.86</v>
      </c>
      <c r="P100" s="5" t="s">
        <v>311</v>
      </c>
      <c r="Q100" s="6" t="n">
        <v>29670.86</v>
      </c>
      <c r="R100" s="5" t="s">
        <v>512</v>
      </c>
      <c r="S100" s="5"/>
      <c r="T100" s="5" t="s">
        <v>44</v>
      </c>
      <c r="U100" s="5" t="s">
        <v>513</v>
      </c>
      <c r="V100" s="5" t="n">
        <v>-3.803907</v>
      </c>
      <c r="W100" s="5" t="n">
        <v>-38.5856</v>
      </c>
    </row>
    <row r="101" customFormat="false" ht="23.25" hidden="false" customHeight="true" outlineLevel="0" collapsed="false">
      <c r="A101" s="5" t="s">
        <v>514</v>
      </c>
      <c r="B101" s="5" t="s">
        <v>36</v>
      </c>
      <c r="C101" s="5" t="s">
        <v>515</v>
      </c>
      <c r="D101" s="5" t="s">
        <v>516</v>
      </c>
      <c r="E101" s="5" t="s">
        <v>282</v>
      </c>
      <c r="F101" s="5" t="n">
        <v>37</v>
      </c>
      <c r="G101" s="5" t="s">
        <v>56</v>
      </c>
      <c r="H101" s="5" t="n">
        <v>2</v>
      </c>
      <c r="I101" s="5" t="n">
        <v>9</v>
      </c>
      <c r="J101" s="5" t="s">
        <v>41</v>
      </c>
      <c r="K101" s="5" t="n">
        <v>7</v>
      </c>
      <c r="L101" s="5" t="s">
        <v>42</v>
      </c>
      <c r="M101" s="5"/>
      <c r="N101" s="5" t="s">
        <v>436</v>
      </c>
      <c r="O101" s="6" t="n">
        <v>21199.88</v>
      </c>
      <c r="P101" s="5" t="s">
        <v>311</v>
      </c>
      <c r="Q101" s="6" t="n">
        <v>21199.88</v>
      </c>
      <c r="R101" s="5" t="s">
        <v>517</v>
      </c>
      <c r="S101" s="5"/>
      <c r="T101" s="5" t="s">
        <v>44</v>
      </c>
      <c r="U101" s="5" t="s">
        <v>518</v>
      </c>
      <c r="V101" s="5" t="n">
        <v>-3.727319</v>
      </c>
      <c r="W101" s="5" t="n">
        <v>-38.478525</v>
      </c>
    </row>
    <row r="102" customFormat="false" ht="23.25" hidden="false" customHeight="true" outlineLevel="0" collapsed="false">
      <c r="A102" s="5" t="s">
        <v>519</v>
      </c>
      <c r="B102" s="5" t="s">
        <v>36</v>
      </c>
      <c r="C102" s="5" t="s">
        <v>520</v>
      </c>
      <c r="D102" s="5" t="s">
        <v>521</v>
      </c>
      <c r="E102" s="5" t="s">
        <v>522</v>
      </c>
      <c r="F102" s="5" t="n">
        <v>90</v>
      </c>
      <c r="G102" s="5" t="s">
        <v>64</v>
      </c>
      <c r="H102" s="5" t="n">
        <v>5</v>
      </c>
      <c r="I102" s="5" t="n">
        <v>39</v>
      </c>
      <c r="J102" s="5" t="s">
        <v>41</v>
      </c>
      <c r="K102" s="5" t="n">
        <v>8</v>
      </c>
      <c r="L102" s="5" t="s">
        <v>42</v>
      </c>
      <c r="M102" s="5"/>
      <c r="N102" s="5" t="s">
        <v>436</v>
      </c>
      <c r="O102" s="5" t="s">
        <v>523</v>
      </c>
      <c r="P102" s="5" t="s">
        <v>311</v>
      </c>
      <c r="Q102" s="6" t="n">
        <v>0</v>
      </c>
      <c r="R102" s="5"/>
      <c r="S102" s="5"/>
      <c r="T102" s="5" t="s">
        <v>44</v>
      </c>
      <c r="U102" s="5" t="s">
        <v>524</v>
      </c>
      <c r="V102" s="5" t="n">
        <v>-3.807902</v>
      </c>
      <c r="W102" s="5" t="n">
        <v>-38.617252</v>
      </c>
    </row>
    <row r="103" customFormat="false" ht="23.25" hidden="false" customHeight="true" outlineLevel="0" collapsed="false">
      <c r="A103" s="5" t="s">
        <v>525</v>
      </c>
      <c r="B103" s="5" t="s">
        <v>36</v>
      </c>
      <c r="C103" s="5" t="s">
        <v>526</v>
      </c>
      <c r="D103" s="5" t="s">
        <v>527</v>
      </c>
      <c r="E103" s="5" t="s">
        <v>70</v>
      </c>
      <c r="F103" s="5" t="n">
        <v>89</v>
      </c>
      <c r="G103" s="5" t="s">
        <v>71</v>
      </c>
      <c r="H103" s="5" t="n">
        <v>8</v>
      </c>
      <c r="I103" s="5" t="n">
        <v>21</v>
      </c>
      <c r="J103" s="5" t="s">
        <v>41</v>
      </c>
      <c r="K103" s="5" t="n">
        <v>9</v>
      </c>
      <c r="L103" s="5" t="s">
        <v>42</v>
      </c>
      <c r="M103" s="5"/>
      <c r="N103" s="5" t="s">
        <v>436</v>
      </c>
      <c r="O103" s="5" t="s">
        <v>523</v>
      </c>
      <c r="P103" s="5" t="s">
        <v>311</v>
      </c>
      <c r="Q103" s="6" t="n">
        <v>0</v>
      </c>
      <c r="R103" s="5"/>
      <c r="S103" s="5"/>
      <c r="T103" s="5" t="s">
        <v>44</v>
      </c>
      <c r="U103" s="5" t="s">
        <v>528</v>
      </c>
      <c r="V103" s="5" t="n">
        <v>-3.839015</v>
      </c>
      <c r="W103" s="5" t="n">
        <v>-38.552066</v>
      </c>
    </row>
    <row r="104" customFormat="false" ht="23.25" hidden="false" customHeight="true" outlineLevel="0" collapsed="false">
      <c r="A104" s="5" t="s">
        <v>529</v>
      </c>
      <c r="B104" s="5" t="s">
        <v>36</v>
      </c>
      <c r="C104" s="5" t="s">
        <v>530</v>
      </c>
      <c r="D104" s="5" t="s">
        <v>531</v>
      </c>
      <c r="E104" s="5" t="s">
        <v>166</v>
      </c>
      <c r="F104" s="5" t="n">
        <v>84</v>
      </c>
      <c r="G104" s="5" t="s">
        <v>71</v>
      </c>
      <c r="H104" s="5" t="n">
        <v>8</v>
      </c>
      <c r="I104" s="5" t="n">
        <v>20</v>
      </c>
      <c r="J104" s="5" t="s">
        <v>41</v>
      </c>
      <c r="K104" s="5" t="n">
        <v>9</v>
      </c>
      <c r="L104" s="5" t="s">
        <v>42</v>
      </c>
      <c r="M104" s="5"/>
      <c r="N104" s="5" t="s">
        <v>436</v>
      </c>
      <c r="O104" s="5" t="s">
        <v>523</v>
      </c>
      <c r="P104" s="5" t="s">
        <v>311</v>
      </c>
      <c r="Q104" s="6" t="n">
        <v>0</v>
      </c>
      <c r="R104" s="5"/>
      <c r="S104" s="5"/>
      <c r="T104" s="5" t="s">
        <v>44</v>
      </c>
      <c r="U104" s="5" t="s">
        <v>532</v>
      </c>
      <c r="V104" s="5" t="n">
        <v>-3.804689</v>
      </c>
      <c r="W104" s="5" t="n">
        <v>-38.54841</v>
      </c>
    </row>
    <row r="105" customFormat="false" ht="23.25" hidden="false" customHeight="true" outlineLevel="0" collapsed="false">
      <c r="A105" s="5" t="s">
        <v>533</v>
      </c>
      <c r="B105" s="5" t="s">
        <v>36</v>
      </c>
      <c r="C105" s="5" t="s">
        <v>534</v>
      </c>
      <c r="D105" s="5" t="s">
        <v>535</v>
      </c>
      <c r="E105" s="5" t="s">
        <v>374</v>
      </c>
      <c r="F105" s="5" t="n">
        <v>61</v>
      </c>
      <c r="G105" s="5" t="s">
        <v>330</v>
      </c>
      <c r="H105" s="5" t="n">
        <v>9</v>
      </c>
      <c r="I105" s="5" t="n">
        <v>32</v>
      </c>
      <c r="J105" s="5" t="s">
        <v>41</v>
      </c>
      <c r="K105" s="5" t="n">
        <v>10</v>
      </c>
      <c r="L105" s="5" t="s">
        <v>42</v>
      </c>
      <c r="M105" s="5"/>
      <c r="N105" s="5" t="s">
        <v>436</v>
      </c>
      <c r="O105" s="5" t="s">
        <v>442</v>
      </c>
      <c r="P105" s="5" t="s">
        <v>311</v>
      </c>
      <c r="Q105" s="6" t="n">
        <v>0</v>
      </c>
      <c r="R105" s="5"/>
      <c r="S105" s="5"/>
      <c r="T105" s="5" t="s">
        <v>44</v>
      </c>
      <c r="U105" s="5" t="s">
        <v>536</v>
      </c>
      <c r="V105" s="5" t="n">
        <v>-3.838986</v>
      </c>
      <c r="W105" s="5" t="n">
        <v>-38.523928</v>
      </c>
    </row>
    <row r="106" customFormat="false" ht="23.25" hidden="false" customHeight="true" outlineLevel="0" collapsed="false">
      <c r="A106" s="5" t="s">
        <v>537</v>
      </c>
      <c r="B106" s="5" t="s">
        <v>36</v>
      </c>
      <c r="C106" s="5" t="s">
        <v>538</v>
      </c>
      <c r="D106" s="5" t="s">
        <v>539</v>
      </c>
      <c r="E106" s="5" t="s">
        <v>356</v>
      </c>
      <c r="F106" s="5" t="n">
        <v>117</v>
      </c>
      <c r="G106" s="5" t="s">
        <v>330</v>
      </c>
      <c r="H106" s="5" t="n">
        <v>9</v>
      </c>
      <c r="I106" s="5" t="n">
        <v>32</v>
      </c>
      <c r="J106" s="5" t="s">
        <v>41</v>
      </c>
      <c r="K106" s="5" t="n">
        <v>10</v>
      </c>
      <c r="L106" s="5" t="s">
        <v>42</v>
      </c>
      <c r="M106" s="5"/>
      <c r="N106" s="5" t="s">
        <v>540</v>
      </c>
      <c r="O106" s="5" t="s">
        <v>523</v>
      </c>
      <c r="P106" s="5" t="s">
        <v>311</v>
      </c>
      <c r="Q106" s="6" t="n">
        <v>0</v>
      </c>
      <c r="R106" s="5"/>
      <c r="S106" s="5"/>
      <c r="T106" s="5" t="s">
        <v>44</v>
      </c>
      <c r="U106" s="5" t="s">
        <v>541</v>
      </c>
      <c r="V106" s="5" t="n">
        <v>-3.852628</v>
      </c>
      <c r="W106" s="5" t="n">
        <v>-38.524126</v>
      </c>
    </row>
    <row r="107" customFormat="false" ht="34.5" hidden="false" customHeight="true" outlineLevel="0" collapsed="false">
      <c r="A107" s="5" t="s">
        <v>542</v>
      </c>
      <c r="B107" s="5" t="s">
        <v>275</v>
      </c>
      <c r="C107" s="5" t="s">
        <v>543</v>
      </c>
      <c r="D107" s="5" t="s">
        <v>544</v>
      </c>
      <c r="E107" s="5" t="s">
        <v>356</v>
      </c>
      <c r="F107" s="5" t="n">
        <v>117</v>
      </c>
      <c r="G107" s="5" t="s">
        <v>330</v>
      </c>
      <c r="H107" s="5" t="n">
        <v>9</v>
      </c>
      <c r="I107" s="5" t="n">
        <v>32</v>
      </c>
      <c r="J107" s="5" t="s">
        <v>57</v>
      </c>
      <c r="K107" s="5" t="n">
        <v>16</v>
      </c>
      <c r="L107" s="5" t="s">
        <v>44</v>
      </c>
      <c r="M107" s="5" t="s">
        <v>97</v>
      </c>
      <c r="N107" s="5" t="s">
        <v>58</v>
      </c>
      <c r="O107" s="5"/>
      <c r="P107" s="5"/>
      <c r="Q107" s="5"/>
      <c r="R107" s="5"/>
      <c r="S107" s="5"/>
      <c r="T107" s="5" t="s">
        <v>44</v>
      </c>
      <c r="U107" s="5" t="s">
        <v>545</v>
      </c>
      <c r="V107" s="5" t="n">
        <v>-3.839344</v>
      </c>
      <c r="W107" s="5" t="n">
        <v>-38.527568</v>
      </c>
    </row>
    <row r="108" customFormat="false" ht="23.25" hidden="false" customHeight="true" outlineLevel="0" collapsed="false">
      <c r="A108" s="5" t="s">
        <v>546</v>
      </c>
      <c r="B108" s="5" t="s">
        <v>36</v>
      </c>
      <c r="C108" s="5" t="s">
        <v>547</v>
      </c>
      <c r="D108" s="5" t="s">
        <v>548</v>
      </c>
      <c r="E108" s="5" t="s">
        <v>343</v>
      </c>
      <c r="F108" s="5" t="n">
        <v>63</v>
      </c>
      <c r="G108" s="5" t="s">
        <v>330</v>
      </c>
      <c r="H108" s="5" t="n">
        <v>6</v>
      </c>
      <c r="I108" s="5" t="n">
        <v>29</v>
      </c>
      <c r="J108" s="5" t="s">
        <v>41</v>
      </c>
      <c r="K108" s="5" t="n">
        <v>10</v>
      </c>
      <c r="L108" s="5" t="s">
        <v>42</v>
      </c>
      <c r="M108" s="5"/>
      <c r="N108" s="5" t="s">
        <v>436</v>
      </c>
      <c r="O108" s="5" t="s">
        <v>523</v>
      </c>
      <c r="P108" s="5" t="s">
        <v>311</v>
      </c>
      <c r="Q108" s="6" t="n">
        <v>0</v>
      </c>
      <c r="R108" s="5"/>
      <c r="S108" s="5"/>
      <c r="T108" s="5" t="s">
        <v>44</v>
      </c>
      <c r="U108" s="5" t="s">
        <v>549</v>
      </c>
      <c r="V108" s="5" t="n">
        <v>-3.823657</v>
      </c>
      <c r="W108" s="5" t="n">
        <v>-38.46499</v>
      </c>
    </row>
    <row r="109" customFormat="false" ht="23.25" hidden="false" customHeight="true" outlineLevel="0" collapsed="false">
      <c r="A109" s="5" t="s">
        <v>550</v>
      </c>
      <c r="B109" s="5" t="s">
        <v>52</v>
      </c>
      <c r="C109" s="5" t="s">
        <v>551</v>
      </c>
      <c r="D109" s="5" t="s">
        <v>552</v>
      </c>
      <c r="E109" s="5" t="s">
        <v>553</v>
      </c>
      <c r="F109" s="5" t="n">
        <v>41</v>
      </c>
      <c r="G109" s="5" t="s">
        <v>96</v>
      </c>
      <c r="H109" s="5" t="n">
        <v>11</v>
      </c>
      <c r="I109" s="5" t="n">
        <v>37</v>
      </c>
      <c r="J109" s="5" t="s">
        <v>57</v>
      </c>
      <c r="K109" s="5" t="n">
        <v>16</v>
      </c>
      <c r="L109" s="5" t="s">
        <v>42</v>
      </c>
      <c r="M109" s="5"/>
      <c r="N109" s="5" t="s">
        <v>58</v>
      </c>
      <c r="O109" s="5"/>
      <c r="P109" s="5"/>
      <c r="Q109" s="5"/>
      <c r="R109" s="5"/>
      <c r="S109" s="5"/>
      <c r="T109" s="5" t="s">
        <v>44</v>
      </c>
      <c r="U109" s="5" t="s">
        <v>554</v>
      </c>
      <c r="V109" s="5" t="n">
        <v>-3.749655</v>
      </c>
      <c r="W109" s="5" t="n">
        <v>-38.592513</v>
      </c>
    </row>
    <row r="110" customFormat="false" ht="15" hidden="false" customHeight="true" outlineLevel="0" collapsed="false">
      <c r="A110" s="5" t="s">
        <v>555</v>
      </c>
      <c r="B110" s="5" t="s">
        <v>36</v>
      </c>
      <c r="C110" s="5" t="s">
        <v>556</v>
      </c>
      <c r="D110" s="5" t="s">
        <v>557</v>
      </c>
      <c r="E110" s="5" t="s">
        <v>297</v>
      </c>
      <c r="F110" s="5" t="n">
        <v>2</v>
      </c>
      <c r="G110" s="5" t="s">
        <v>56</v>
      </c>
      <c r="H110" s="5" t="n">
        <v>2</v>
      </c>
      <c r="I110" s="5" t="n">
        <v>7</v>
      </c>
      <c r="J110" s="5"/>
      <c r="K110" s="5" t="n">
        <v>6</v>
      </c>
      <c r="L110" s="5" t="s">
        <v>42</v>
      </c>
      <c r="M110" s="5"/>
      <c r="N110" s="5" t="s">
        <v>43</v>
      </c>
      <c r="O110" s="5"/>
      <c r="P110" s="5"/>
      <c r="Q110" s="6" t="n">
        <v>0</v>
      </c>
      <c r="R110" s="5"/>
      <c r="S110" s="5"/>
      <c r="T110" s="5" t="s">
        <v>42</v>
      </c>
      <c r="U110" s="5" t="s">
        <v>558</v>
      </c>
      <c r="V110" s="5" t="n">
        <v>-3.731889</v>
      </c>
      <c r="W110" s="5" t="n">
        <v>-38.503914</v>
      </c>
    </row>
    <row r="111" customFormat="false" ht="23.25" hidden="false" customHeight="true" outlineLevel="0" collapsed="false">
      <c r="A111" s="5" t="s">
        <v>559</v>
      </c>
      <c r="B111" s="5" t="s">
        <v>36</v>
      </c>
      <c r="C111" s="5" t="s">
        <v>560</v>
      </c>
      <c r="D111" s="5" t="s">
        <v>561</v>
      </c>
      <c r="E111" s="5" t="s">
        <v>562</v>
      </c>
      <c r="F111" s="5" t="n">
        <v>19</v>
      </c>
      <c r="G111" s="5" t="s">
        <v>71</v>
      </c>
      <c r="H111" s="5" t="n">
        <v>4</v>
      </c>
      <c r="I111" s="5" t="n">
        <v>16</v>
      </c>
      <c r="J111" s="5"/>
      <c r="K111" s="5" t="n">
        <v>6</v>
      </c>
      <c r="L111" s="5" t="s">
        <v>42</v>
      </c>
      <c r="M111" s="5"/>
      <c r="N111" s="5" t="s">
        <v>43</v>
      </c>
      <c r="O111" s="5"/>
      <c r="P111" s="5"/>
      <c r="Q111" s="6" t="n">
        <v>0</v>
      </c>
      <c r="R111" s="5"/>
      <c r="S111" s="5"/>
      <c r="T111" s="5" t="s">
        <v>42</v>
      </c>
      <c r="U111" s="5" t="s">
        <v>563</v>
      </c>
      <c r="V111" s="5" t="n">
        <v>-3.750898</v>
      </c>
      <c r="W111" s="5" t="n">
        <v>-38.537831</v>
      </c>
    </row>
    <row r="112" customFormat="false" ht="23.25" hidden="false" customHeight="true" outlineLevel="0" collapsed="false">
      <c r="A112" s="5" t="s">
        <v>564</v>
      </c>
      <c r="B112" s="5" t="s">
        <v>36</v>
      </c>
      <c r="C112" s="5" t="s">
        <v>565</v>
      </c>
      <c r="D112" s="5" t="s">
        <v>566</v>
      </c>
      <c r="E112" s="5" t="s">
        <v>567</v>
      </c>
      <c r="F112" s="5" t="n">
        <v>10</v>
      </c>
      <c r="G112" s="5" t="s">
        <v>40</v>
      </c>
      <c r="H112" s="5" t="n">
        <v>12</v>
      </c>
      <c r="I112" s="5" t="n">
        <v>1</v>
      </c>
      <c r="J112" s="5" t="s">
        <v>568</v>
      </c>
      <c r="K112" s="5" t="n">
        <v>3</v>
      </c>
      <c r="L112" s="5" t="s">
        <v>42</v>
      </c>
      <c r="M112" s="5"/>
      <c r="N112" s="5" t="s">
        <v>569</v>
      </c>
      <c r="O112" s="5"/>
      <c r="P112" s="5"/>
      <c r="Q112" s="5"/>
      <c r="R112" s="5"/>
      <c r="S112" s="5"/>
      <c r="T112" s="5" t="s">
        <v>42</v>
      </c>
      <c r="U112" s="5" t="s">
        <v>570</v>
      </c>
      <c r="V112" s="5" t="n">
        <v>-3.721494</v>
      </c>
      <c r="W112" s="5" t="n">
        <v>-38.535374</v>
      </c>
    </row>
    <row r="113" customFormat="false" ht="23.25" hidden="false" customHeight="true" outlineLevel="0" collapsed="false">
      <c r="A113" s="5" t="s">
        <v>571</v>
      </c>
      <c r="B113" s="5" t="s">
        <v>36</v>
      </c>
      <c r="C113" s="5" t="s">
        <v>572</v>
      </c>
      <c r="D113" s="5" t="s">
        <v>573</v>
      </c>
      <c r="E113" s="5" t="s">
        <v>156</v>
      </c>
      <c r="F113" s="5" t="n">
        <v>6</v>
      </c>
      <c r="G113" s="5" t="s">
        <v>40</v>
      </c>
      <c r="H113" s="5" t="n">
        <v>1</v>
      </c>
      <c r="I113" s="5" t="n">
        <v>3</v>
      </c>
      <c r="J113" s="5" t="s">
        <v>568</v>
      </c>
      <c r="K113" s="5" t="n">
        <v>5</v>
      </c>
      <c r="L113" s="5" t="s">
        <v>42</v>
      </c>
      <c r="M113" s="5"/>
      <c r="N113" s="5" t="s">
        <v>569</v>
      </c>
      <c r="O113" s="5"/>
      <c r="P113" s="5"/>
      <c r="Q113" s="5"/>
      <c r="R113" s="5"/>
      <c r="S113" s="5"/>
      <c r="T113" s="5" t="s">
        <v>42</v>
      </c>
      <c r="U113" s="5" t="s">
        <v>574</v>
      </c>
      <c r="V113" s="5" t="n">
        <v>-3.706547</v>
      </c>
      <c r="W113" s="5" t="n">
        <v>-38.570631</v>
      </c>
    </row>
    <row r="114" customFormat="false" ht="34.5" hidden="false" customHeight="true" outlineLevel="0" collapsed="false">
      <c r="A114" s="5" t="s">
        <v>575</v>
      </c>
      <c r="B114" s="5" t="s">
        <v>36</v>
      </c>
      <c r="C114" s="5" t="s">
        <v>576</v>
      </c>
      <c r="D114" s="5" t="s">
        <v>577</v>
      </c>
      <c r="E114" s="5" t="s">
        <v>422</v>
      </c>
      <c r="F114" s="5" t="n">
        <v>68</v>
      </c>
      <c r="G114" s="5" t="s">
        <v>330</v>
      </c>
      <c r="H114" s="5" t="n">
        <v>6</v>
      </c>
      <c r="I114" s="5" t="n">
        <v>30</v>
      </c>
      <c r="J114" s="5" t="s">
        <v>65</v>
      </c>
      <c r="K114" s="5" t="n">
        <v>7</v>
      </c>
      <c r="L114" s="5" t="s">
        <v>42</v>
      </c>
      <c r="M114" s="5"/>
      <c r="N114" s="5" t="s">
        <v>43</v>
      </c>
      <c r="O114" s="5"/>
      <c r="P114" s="5"/>
      <c r="Q114" s="6" t="n">
        <v>0</v>
      </c>
      <c r="R114" s="5"/>
      <c r="S114" s="5"/>
      <c r="T114" s="5" t="s">
        <v>42</v>
      </c>
      <c r="U114" s="5" t="s">
        <v>578</v>
      </c>
      <c r="V114" s="5" t="n">
        <v>-3.858964</v>
      </c>
      <c r="W114" s="5" t="n">
        <v>-38.493364</v>
      </c>
    </row>
    <row r="115" customFormat="false" ht="23.25" hidden="false" customHeight="true" outlineLevel="0" collapsed="false">
      <c r="A115" s="5" t="s">
        <v>579</v>
      </c>
      <c r="B115" s="5" t="s">
        <v>52</v>
      </c>
      <c r="C115" s="5" t="s">
        <v>580</v>
      </c>
      <c r="D115" s="5" t="s">
        <v>498</v>
      </c>
      <c r="E115" s="5" t="s">
        <v>190</v>
      </c>
      <c r="F115" s="5" t="n">
        <v>57</v>
      </c>
      <c r="G115" s="5" t="s">
        <v>56</v>
      </c>
      <c r="H115" s="5" t="n">
        <v>7</v>
      </c>
      <c r="I115" s="5" t="n">
        <v>25</v>
      </c>
      <c r="J115" s="5" t="s">
        <v>41</v>
      </c>
      <c r="K115" s="5" t="n">
        <v>11</v>
      </c>
      <c r="L115" s="5" t="s">
        <v>44</v>
      </c>
      <c r="M115" s="5" t="s">
        <v>97</v>
      </c>
      <c r="N115" s="5" t="s">
        <v>436</v>
      </c>
      <c r="O115" s="6" t="n">
        <v>53318.31</v>
      </c>
      <c r="P115" s="5" t="s">
        <v>311</v>
      </c>
      <c r="Q115" s="6" t="n">
        <v>53318.31</v>
      </c>
      <c r="R115" s="5" t="s">
        <v>581</v>
      </c>
      <c r="S115" s="5"/>
      <c r="T115" s="5" t="s">
        <v>44</v>
      </c>
      <c r="U115" s="5" t="s">
        <v>499</v>
      </c>
      <c r="V115" s="5" t="n">
        <v>-3.789507</v>
      </c>
      <c r="W115" s="5" t="n">
        <v>-38.448727</v>
      </c>
    </row>
    <row r="116" customFormat="false" ht="23.25" hidden="false" customHeight="true" outlineLevel="0" collapsed="false">
      <c r="A116" s="5" t="s">
        <v>582</v>
      </c>
      <c r="B116" s="5" t="s">
        <v>36</v>
      </c>
      <c r="C116" s="5" t="s">
        <v>583</v>
      </c>
      <c r="D116" s="5" t="s">
        <v>584</v>
      </c>
      <c r="E116" s="5" t="s">
        <v>199</v>
      </c>
      <c r="F116" s="5" t="n">
        <v>39</v>
      </c>
      <c r="G116" s="5" t="s">
        <v>40</v>
      </c>
      <c r="H116" s="5" t="n">
        <v>1</v>
      </c>
      <c r="I116" s="5" t="n">
        <v>2</v>
      </c>
      <c r="J116" s="5" t="s">
        <v>41</v>
      </c>
      <c r="K116" s="5" t="n">
        <v>11</v>
      </c>
      <c r="L116" s="5" t="s">
        <v>42</v>
      </c>
      <c r="M116" s="5"/>
      <c r="N116" s="5" t="s">
        <v>436</v>
      </c>
      <c r="O116" s="6" t="n">
        <v>62381.01</v>
      </c>
      <c r="P116" s="5" t="s">
        <v>311</v>
      </c>
      <c r="Q116" s="6" t="n">
        <v>62381.01</v>
      </c>
      <c r="R116" s="5" t="s">
        <v>585</v>
      </c>
      <c r="S116" s="5"/>
      <c r="T116" s="5" t="s">
        <v>44</v>
      </c>
      <c r="U116" s="5" t="s">
        <v>586</v>
      </c>
      <c r="V116" s="5" t="n">
        <v>-3.711368</v>
      </c>
      <c r="W116" s="5" t="n">
        <v>-38.600089</v>
      </c>
    </row>
    <row r="117" customFormat="false" ht="23.25" hidden="false" customHeight="true" outlineLevel="0" collapsed="false">
      <c r="A117" s="5" t="s">
        <v>587</v>
      </c>
      <c r="B117" s="5" t="s">
        <v>52</v>
      </c>
      <c r="C117" s="5" t="s">
        <v>588</v>
      </c>
      <c r="D117" s="5" t="s">
        <v>589</v>
      </c>
      <c r="E117" s="5" t="s">
        <v>374</v>
      </c>
      <c r="F117" s="5" t="n">
        <v>61</v>
      </c>
      <c r="G117" s="5" t="s">
        <v>330</v>
      </c>
      <c r="H117" s="5" t="n">
        <v>9</v>
      </c>
      <c r="I117" s="5" t="n">
        <v>32</v>
      </c>
      <c r="J117" s="5" t="s">
        <v>41</v>
      </c>
      <c r="K117" s="5" t="n">
        <v>12</v>
      </c>
      <c r="L117" s="5" t="s">
        <v>42</v>
      </c>
      <c r="M117" s="5"/>
      <c r="N117" s="5" t="s">
        <v>436</v>
      </c>
      <c r="O117" s="6" t="n">
        <v>107349.41</v>
      </c>
      <c r="P117" s="5" t="s">
        <v>590</v>
      </c>
      <c r="Q117" s="6" t="n">
        <v>107349.41</v>
      </c>
      <c r="R117" s="5" t="s">
        <v>591</v>
      </c>
      <c r="S117" s="5" t="s">
        <v>592</v>
      </c>
      <c r="T117" s="5" t="s">
        <v>44</v>
      </c>
      <c r="U117" s="5" t="s">
        <v>593</v>
      </c>
      <c r="V117" s="5" t="n">
        <v>-3.84591</v>
      </c>
      <c r="W117" s="5" t="n">
        <v>-38.504775</v>
      </c>
    </row>
    <row r="118" customFormat="false" ht="23.25" hidden="false" customHeight="true" outlineLevel="0" collapsed="false">
      <c r="A118" s="5" t="s">
        <v>594</v>
      </c>
      <c r="B118" s="5" t="s">
        <v>52</v>
      </c>
      <c r="C118" s="5" t="s">
        <v>595</v>
      </c>
      <c r="D118" s="5" t="s">
        <v>596</v>
      </c>
      <c r="E118" s="5" t="s">
        <v>246</v>
      </c>
      <c r="F118" s="5" t="n">
        <v>113</v>
      </c>
      <c r="G118" s="5" t="s">
        <v>56</v>
      </c>
      <c r="H118" s="5" t="n">
        <v>7</v>
      </c>
      <c r="I118" s="5" t="n">
        <v>22</v>
      </c>
      <c r="J118" s="5" t="s">
        <v>41</v>
      </c>
      <c r="K118" s="5" t="n">
        <v>15</v>
      </c>
      <c r="L118" s="5" t="s">
        <v>44</v>
      </c>
      <c r="M118" s="5" t="s">
        <v>385</v>
      </c>
      <c r="N118" s="5" t="s">
        <v>436</v>
      </c>
      <c r="O118" s="6" t="n">
        <v>70644.47</v>
      </c>
      <c r="P118" s="5" t="s">
        <v>311</v>
      </c>
      <c r="Q118" s="6" t="n">
        <v>70644.47</v>
      </c>
      <c r="R118" s="5" t="s">
        <v>597</v>
      </c>
      <c r="S118" s="5"/>
      <c r="T118" s="5" t="s">
        <v>44</v>
      </c>
      <c r="U118" s="5" t="s">
        <v>598</v>
      </c>
      <c r="V118" s="5" t="n">
        <v>-3.745061</v>
      </c>
      <c r="W118" s="5" t="n">
        <v>-38.454743</v>
      </c>
    </row>
    <row r="119" customFormat="false" ht="23.25" hidden="false" customHeight="true" outlineLevel="0" collapsed="false">
      <c r="A119" s="5" t="s">
        <v>599</v>
      </c>
      <c r="B119" s="5" t="s">
        <v>52</v>
      </c>
      <c r="C119" s="5" t="s">
        <v>600</v>
      </c>
      <c r="D119" s="5" t="s">
        <v>601</v>
      </c>
      <c r="E119" s="5" t="s">
        <v>81</v>
      </c>
      <c r="F119" s="5" t="n">
        <v>78</v>
      </c>
      <c r="G119" s="5" t="s">
        <v>64</v>
      </c>
      <c r="H119" s="5" t="n">
        <v>5</v>
      </c>
      <c r="I119" s="5" t="n">
        <v>39</v>
      </c>
      <c r="J119" s="5" t="s">
        <v>41</v>
      </c>
      <c r="K119" s="5" t="n">
        <v>21</v>
      </c>
      <c r="L119" s="5" t="s">
        <v>42</v>
      </c>
      <c r="M119" s="5"/>
      <c r="N119" s="5" t="s">
        <v>436</v>
      </c>
      <c r="O119" s="6" t="n">
        <v>132437.18</v>
      </c>
      <c r="P119" s="5" t="s">
        <v>311</v>
      </c>
      <c r="Q119" s="6" t="n">
        <v>132437.18</v>
      </c>
      <c r="R119" s="5" t="s">
        <v>602</v>
      </c>
      <c r="S119" s="5"/>
      <c r="T119" s="5" t="s">
        <v>44</v>
      </c>
      <c r="U119" s="5" t="s">
        <v>603</v>
      </c>
      <c r="V119" s="5" t="n">
        <v>-3.796508</v>
      </c>
      <c r="W119" s="5" t="n">
        <v>-38.613564</v>
      </c>
    </row>
    <row r="120" customFormat="false" ht="23.25" hidden="false" customHeight="true" outlineLevel="0" collapsed="false">
      <c r="A120" s="5" t="s">
        <v>604</v>
      </c>
      <c r="B120" s="5" t="s">
        <v>52</v>
      </c>
      <c r="C120" s="5" t="s">
        <v>605</v>
      </c>
      <c r="D120" s="5" t="s">
        <v>606</v>
      </c>
      <c r="E120" s="5" t="s">
        <v>567</v>
      </c>
      <c r="F120" s="5" t="n">
        <v>10</v>
      </c>
      <c r="G120" s="5" t="s">
        <v>40</v>
      </c>
      <c r="H120" s="5" t="n">
        <v>12</v>
      </c>
      <c r="I120" s="5" t="n">
        <v>1</v>
      </c>
      <c r="J120" s="5" t="s">
        <v>41</v>
      </c>
      <c r="K120" s="5" t="n">
        <v>13</v>
      </c>
      <c r="L120" s="5" t="s">
        <v>42</v>
      </c>
      <c r="M120" s="5"/>
      <c r="N120" s="5" t="s">
        <v>58</v>
      </c>
      <c r="O120" s="5"/>
      <c r="P120" s="5"/>
      <c r="Q120" s="5"/>
      <c r="R120" s="5"/>
      <c r="S120" s="5"/>
      <c r="T120" s="5" t="s">
        <v>44</v>
      </c>
      <c r="U120" s="5" t="s">
        <v>607</v>
      </c>
      <c r="V120" s="5" t="n">
        <v>-3.731983</v>
      </c>
      <c r="W120" s="5" t="n">
        <v>-38.522634</v>
      </c>
    </row>
    <row r="121" customFormat="false" ht="23.25" hidden="false" customHeight="true" outlineLevel="0" collapsed="false">
      <c r="A121" s="5" t="s">
        <v>608</v>
      </c>
      <c r="B121" s="5" t="s">
        <v>52</v>
      </c>
      <c r="C121" s="5" t="s">
        <v>609</v>
      </c>
      <c r="D121" s="5" t="s">
        <v>610</v>
      </c>
      <c r="E121" s="5" t="s">
        <v>156</v>
      </c>
      <c r="F121" s="5" t="n">
        <v>6</v>
      </c>
      <c r="G121" s="5" t="s">
        <v>40</v>
      </c>
      <c r="H121" s="5" t="n">
        <v>1</v>
      </c>
      <c r="I121" s="5" t="n">
        <v>3</v>
      </c>
      <c r="J121" s="5" t="s">
        <v>41</v>
      </c>
      <c r="K121" s="5" t="n">
        <v>15</v>
      </c>
      <c r="L121" s="5" t="s">
        <v>42</v>
      </c>
      <c r="M121" s="5"/>
      <c r="N121" s="5" t="s">
        <v>58</v>
      </c>
      <c r="O121" s="5"/>
      <c r="P121" s="5"/>
      <c r="Q121" s="5"/>
      <c r="R121" s="5"/>
      <c r="S121" s="5"/>
      <c r="T121" s="5" t="s">
        <v>44</v>
      </c>
      <c r="U121" s="5" t="s">
        <v>611</v>
      </c>
      <c r="V121" s="5" t="n">
        <v>-3.706812</v>
      </c>
      <c r="W121" s="5" t="n">
        <v>-38.574557</v>
      </c>
    </row>
    <row r="122" customFormat="false" ht="23.25" hidden="false" customHeight="true" outlineLevel="0" collapsed="false">
      <c r="A122" s="5" t="s">
        <v>612</v>
      </c>
      <c r="B122" s="5" t="s">
        <v>52</v>
      </c>
      <c r="C122" s="5" t="s">
        <v>613</v>
      </c>
      <c r="D122" s="5" t="s">
        <v>614</v>
      </c>
      <c r="E122" s="5" t="s">
        <v>76</v>
      </c>
      <c r="F122" s="5" t="n">
        <v>80</v>
      </c>
      <c r="G122" s="5" t="s">
        <v>64</v>
      </c>
      <c r="H122" s="5" t="n">
        <v>10</v>
      </c>
      <c r="I122" s="5" t="n">
        <v>35</v>
      </c>
      <c r="J122" s="5" t="s">
        <v>41</v>
      </c>
      <c r="K122" s="5" t="n">
        <v>15</v>
      </c>
      <c r="L122" s="5" t="s">
        <v>42</v>
      </c>
      <c r="M122" s="5"/>
      <c r="N122" s="5" t="s">
        <v>58</v>
      </c>
      <c r="O122" s="5"/>
      <c r="P122" s="5"/>
      <c r="Q122" s="5"/>
      <c r="R122" s="5"/>
      <c r="S122" s="5"/>
      <c r="T122" s="5" t="s">
        <v>44</v>
      </c>
      <c r="U122" s="5" t="s">
        <v>615</v>
      </c>
      <c r="V122" s="5" t="n">
        <v>-3.79926</v>
      </c>
      <c r="W122" s="5" t="n">
        <v>-38.562999</v>
      </c>
    </row>
    <row r="123" customFormat="false" ht="23.25" hidden="false" customHeight="true" outlineLevel="0" collapsed="false">
      <c r="A123" s="5" t="s">
        <v>616</v>
      </c>
      <c r="B123" s="5" t="s">
        <v>36</v>
      </c>
      <c r="C123" s="5" t="s">
        <v>617</v>
      </c>
      <c r="D123" s="5" t="s">
        <v>618</v>
      </c>
      <c r="E123" s="5" t="s">
        <v>343</v>
      </c>
      <c r="F123" s="5" t="n">
        <v>63</v>
      </c>
      <c r="G123" s="5" t="s">
        <v>330</v>
      </c>
      <c r="H123" s="5" t="n">
        <v>6</v>
      </c>
      <c r="I123" s="5" t="n">
        <v>29</v>
      </c>
      <c r="J123" s="5" t="s">
        <v>619</v>
      </c>
      <c r="K123" s="5" t="n">
        <v>5</v>
      </c>
      <c r="L123" s="5" t="s">
        <v>44</v>
      </c>
      <c r="M123" s="5" t="s">
        <v>385</v>
      </c>
      <c r="N123" s="5" t="s">
        <v>569</v>
      </c>
      <c r="O123" s="5"/>
      <c r="P123" s="5"/>
      <c r="Q123" s="5"/>
      <c r="R123" s="5"/>
      <c r="S123" s="5"/>
      <c r="T123" s="5" t="s">
        <v>44</v>
      </c>
      <c r="U123" s="5" t="s">
        <v>620</v>
      </c>
      <c r="V123" s="5" t="n">
        <v>-3.826084</v>
      </c>
      <c r="W123" s="5" t="n">
        <v>-38.457728</v>
      </c>
    </row>
    <row r="124" customFormat="false" ht="23.25" hidden="false" customHeight="true" outlineLevel="0" collapsed="false">
      <c r="A124" s="5" t="s">
        <v>621</v>
      </c>
      <c r="B124" s="5" t="s">
        <v>36</v>
      </c>
      <c r="C124" s="5" t="s">
        <v>622</v>
      </c>
      <c r="D124" s="5" t="s">
        <v>623</v>
      </c>
      <c r="E124" s="5" t="s">
        <v>624</v>
      </c>
      <c r="F124" s="5" t="n">
        <v>27</v>
      </c>
      <c r="G124" s="5" t="s">
        <v>56</v>
      </c>
      <c r="H124" s="5" t="n">
        <v>2</v>
      </c>
      <c r="I124" s="5" t="n">
        <v>8</v>
      </c>
      <c r="J124" s="5" t="s">
        <v>619</v>
      </c>
      <c r="K124" s="5" t="n">
        <v>5</v>
      </c>
      <c r="L124" s="5" t="s">
        <v>44</v>
      </c>
      <c r="M124" s="5" t="s">
        <v>385</v>
      </c>
      <c r="N124" s="5" t="s">
        <v>569</v>
      </c>
      <c r="O124" s="5"/>
      <c r="P124" s="5"/>
      <c r="Q124" s="5"/>
      <c r="R124" s="5"/>
      <c r="S124" s="5"/>
      <c r="T124" s="5" t="s">
        <v>44</v>
      </c>
      <c r="U124" s="5" t="s">
        <v>625</v>
      </c>
      <c r="V124" s="5" t="n">
        <v>-3.74421</v>
      </c>
      <c r="W124" s="5" t="n">
        <v>-38.468979</v>
      </c>
    </row>
    <row r="125" customFormat="false" ht="23.25" hidden="false" customHeight="true" outlineLevel="0" collapsed="false">
      <c r="A125" s="5" t="s">
        <v>626</v>
      </c>
      <c r="B125" s="5" t="s">
        <v>36</v>
      </c>
      <c r="C125" s="5" t="s">
        <v>627</v>
      </c>
      <c r="D125" s="5" t="s">
        <v>628</v>
      </c>
      <c r="E125" s="5" t="s">
        <v>171</v>
      </c>
      <c r="F125" s="5" t="n">
        <v>83</v>
      </c>
      <c r="G125" s="5" t="s">
        <v>64</v>
      </c>
      <c r="H125" s="5" t="n">
        <v>10</v>
      </c>
      <c r="I125" s="5" t="n">
        <v>35</v>
      </c>
      <c r="J125" s="5"/>
      <c r="K125" s="5" t="n">
        <v>7</v>
      </c>
      <c r="L125" s="5" t="s">
        <v>42</v>
      </c>
      <c r="M125" s="5"/>
      <c r="N125" s="5" t="s">
        <v>43</v>
      </c>
      <c r="O125" s="5"/>
      <c r="P125" s="5"/>
      <c r="Q125" s="6" t="n">
        <v>0</v>
      </c>
      <c r="R125" s="5"/>
      <c r="S125" s="5"/>
      <c r="T125" s="5" t="s">
        <v>42</v>
      </c>
      <c r="U125" s="5" t="s">
        <v>629</v>
      </c>
      <c r="V125" s="5" t="n">
        <v>-3.813362</v>
      </c>
      <c r="W125" s="5" t="n">
        <v>-38.580534</v>
      </c>
    </row>
    <row r="126" customFormat="false" ht="23.25" hidden="false" customHeight="true" outlineLevel="0" collapsed="false">
      <c r="A126" s="5" t="s">
        <v>630</v>
      </c>
      <c r="B126" s="5" t="s">
        <v>36</v>
      </c>
      <c r="C126" s="5" t="s">
        <v>631</v>
      </c>
      <c r="D126" s="5" t="s">
        <v>632</v>
      </c>
      <c r="E126" s="5" t="s">
        <v>390</v>
      </c>
      <c r="F126" s="5" t="n">
        <v>73</v>
      </c>
      <c r="G126" s="5" t="s">
        <v>64</v>
      </c>
      <c r="H126" s="5" t="n">
        <v>5</v>
      </c>
      <c r="I126" s="5" t="n">
        <v>39</v>
      </c>
      <c r="J126" s="5" t="s">
        <v>619</v>
      </c>
      <c r="K126" s="5" t="n">
        <v>5</v>
      </c>
      <c r="L126" s="5" t="s">
        <v>44</v>
      </c>
      <c r="M126" s="5" t="s">
        <v>97</v>
      </c>
      <c r="N126" s="5" t="s">
        <v>569</v>
      </c>
      <c r="O126" s="5"/>
      <c r="P126" s="5"/>
      <c r="Q126" s="5"/>
      <c r="R126" s="5"/>
      <c r="S126" s="5"/>
      <c r="T126" s="5" t="s">
        <v>44</v>
      </c>
      <c r="U126" s="5" t="s">
        <v>633</v>
      </c>
      <c r="V126" s="5" t="n">
        <v>-3.78347</v>
      </c>
      <c r="W126" s="5" t="n">
        <v>-38.590083</v>
      </c>
    </row>
    <row r="127" customFormat="false" ht="23.25" hidden="false" customHeight="true" outlineLevel="0" collapsed="false">
      <c r="A127" s="5" t="s">
        <v>634</v>
      </c>
      <c r="B127" s="5" t="s">
        <v>36</v>
      </c>
      <c r="C127" s="5" t="s">
        <v>635</v>
      </c>
      <c r="D127" s="5" t="s">
        <v>636</v>
      </c>
      <c r="E127" s="5" t="s">
        <v>374</v>
      </c>
      <c r="F127" s="5" t="n">
        <v>61</v>
      </c>
      <c r="G127" s="5" t="s">
        <v>330</v>
      </c>
      <c r="H127" s="5" t="n">
        <v>9</v>
      </c>
      <c r="I127" s="5" t="n">
        <v>32</v>
      </c>
      <c r="J127" s="5"/>
      <c r="K127" s="5" t="n">
        <v>7</v>
      </c>
      <c r="L127" s="5" t="s">
        <v>42</v>
      </c>
      <c r="M127" s="5"/>
      <c r="N127" s="5" t="s">
        <v>43</v>
      </c>
      <c r="O127" s="5"/>
      <c r="P127" s="5"/>
      <c r="Q127" s="6" t="n">
        <v>0</v>
      </c>
      <c r="R127" s="5"/>
      <c r="S127" s="5"/>
      <c r="T127" s="5" t="s">
        <v>42</v>
      </c>
      <c r="U127" s="5" t="s">
        <v>637</v>
      </c>
      <c r="V127" s="5" t="n">
        <v>-3.857772</v>
      </c>
      <c r="W127" s="5" t="n">
        <v>-38.516908</v>
      </c>
    </row>
    <row r="128" customFormat="false" ht="23.25" hidden="false" customHeight="true" outlineLevel="0" collapsed="false">
      <c r="A128" s="5" t="s">
        <v>638</v>
      </c>
      <c r="B128" s="5" t="s">
        <v>36</v>
      </c>
      <c r="C128" s="5" t="s">
        <v>639</v>
      </c>
      <c r="D128" s="5" t="s">
        <v>640</v>
      </c>
      <c r="E128" s="5" t="s">
        <v>390</v>
      </c>
      <c r="F128" s="5" t="n">
        <v>73</v>
      </c>
      <c r="G128" s="5" t="s">
        <v>64</v>
      </c>
      <c r="H128" s="5" t="n">
        <v>5</v>
      </c>
      <c r="I128" s="5" t="n">
        <v>39</v>
      </c>
      <c r="J128" s="5"/>
      <c r="K128" s="5" t="n">
        <v>7</v>
      </c>
      <c r="L128" s="5" t="s">
        <v>42</v>
      </c>
      <c r="M128" s="5"/>
      <c r="N128" s="5" t="s">
        <v>43</v>
      </c>
      <c r="O128" s="5"/>
      <c r="P128" s="5"/>
      <c r="Q128" s="6" t="n">
        <v>0</v>
      </c>
      <c r="R128" s="5"/>
      <c r="S128" s="5"/>
      <c r="T128" s="5" t="s">
        <v>42</v>
      </c>
      <c r="U128" s="5" t="s">
        <v>641</v>
      </c>
      <c r="V128" s="5" t="n">
        <v>-3.773738</v>
      </c>
      <c r="W128" s="5" t="n">
        <v>-38.584098</v>
      </c>
    </row>
    <row r="129" customFormat="false" ht="23.25" hidden="false" customHeight="true" outlineLevel="0" collapsed="false">
      <c r="A129" s="5" t="s">
        <v>642</v>
      </c>
      <c r="B129" s="5" t="s">
        <v>36</v>
      </c>
      <c r="C129" s="5" t="s">
        <v>643</v>
      </c>
      <c r="D129" s="5" t="s">
        <v>644</v>
      </c>
      <c r="E129" s="5" t="s">
        <v>645</v>
      </c>
      <c r="F129" s="5" t="n">
        <v>91</v>
      </c>
      <c r="G129" s="5" t="s">
        <v>330</v>
      </c>
      <c r="H129" s="5" t="n">
        <v>6</v>
      </c>
      <c r="I129" s="5" t="n">
        <v>26</v>
      </c>
      <c r="J129" s="5"/>
      <c r="K129" s="5" t="n">
        <v>7</v>
      </c>
      <c r="L129" s="5" t="s">
        <v>42</v>
      </c>
      <c r="M129" s="5"/>
      <c r="N129" s="5" t="s">
        <v>43</v>
      </c>
      <c r="O129" s="5"/>
      <c r="P129" s="5"/>
      <c r="Q129" s="6" t="n">
        <v>0</v>
      </c>
      <c r="R129" s="5"/>
      <c r="S129" s="5"/>
      <c r="T129" s="5" t="s">
        <v>42</v>
      </c>
      <c r="U129" s="5" t="s">
        <v>646</v>
      </c>
      <c r="V129" s="5" t="n">
        <v>-3.770991</v>
      </c>
      <c r="W129" s="5" t="n">
        <v>-38.515955</v>
      </c>
    </row>
    <row r="130" customFormat="false" ht="23.25" hidden="false" customHeight="true" outlineLevel="0" collapsed="false">
      <c r="A130" s="5" t="s">
        <v>647</v>
      </c>
      <c r="B130" s="5" t="s">
        <v>36</v>
      </c>
      <c r="C130" s="5" t="s">
        <v>648</v>
      </c>
      <c r="D130" s="5" t="s">
        <v>649</v>
      </c>
      <c r="E130" s="5" t="s">
        <v>390</v>
      </c>
      <c r="F130" s="5" t="n">
        <v>73</v>
      </c>
      <c r="G130" s="5" t="s">
        <v>64</v>
      </c>
      <c r="H130" s="5" t="n">
        <v>5</v>
      </c>
      <c r="I130" s="5" t="n">
        <v>39</v>
      </c>
      <c r="J130" s="5"/>
      <c r="K130" s="5" t="n">
        <v>7</v>
      </c>
      <c r="L130" s="5" t="s">
        <v>42</v>
      </c>
      <c r="M130" s="5"/>
      <c r="N130" s="5" t="s">
        <v>43</v>
      </c>
      <c r="O130" s="5"/>
      <c r="P130" s="5"/>
      <c r="Q130" s="6" t="n">
        <v>0</v>
      </c>
      <c r="R130" s="5"/>
      <c r="S130" s="5"/>
      <c r="T130" s="5" t="s">
        <v>42</v>
      </c>
      <c r="U130" s="5" t="s">
        <v>650</v>
      </c>
      <c r="V130" s="5" t="n">
        <v>-3.77634</v>
      </c>
      <c r="W130" s="5" t="n">
        <v>-38.594403</v>
      </c>
    </row>
    <row r="131" customFormat="false" ht="34.5" hidden="false" customHeight="true" outlineLevel="0" collapsed="false">
      <c r="A131" s="5" t="s">
        <v>651</v>
      </c>
      <c r="B131" s="5" t="s">
        <v>36</v>
      </c>
      <c r="C131" s="5" t="s">
        <v>652</v>
      </c>
      <c r="D131" s="5" t="s">
        <v>653</v>
      </c>
      <c r="E131" s="5" t="s">
        <v>654</v>
      </c>
      <c r="F131" s="5" t="n">
        <v>44</v>
      </c>
      <c r="G131" s="5" t="s">
        <v>96</v>
      </c>
      <c r="H131" s="5" t="n">
        <v>11</v>
      </c>
      <c r="I131" s="5" t="n">
        <v>38</v>
      </c>
      <c r="J131" s="5" t="s">
        <v>65</v>
      </c>
      <c r="K131" s="5" t="n">
        <v>7</v>
      </c>
      <c r="L131" s="5" t="s">
        <v>42</v>
      </c>
      <c r="M131" s="5"/>
      <c r="N131" s="5" t="s">
        <v>43</v>
      </c>
      <c r="O131" s="5"/>
      <c r="P131" s="5"/>
      <c r="Q131" s="6" t="n">
        <v>0</v>
      </c>
      <c r="R131" s="5"/>
      <c r="S131" s="5"/>
      <c r="T131" s="5" t="s">
        <v>42</v>
      </c>
      <c r="U131" s="5" t="s">
        <v>655</v>
      </c>
      <c r="V131" s="5" t="n">
        <v>-3.756023</v>
      </c>
      <c r="W131" s="5" t="n">
        <v>-38.60325</v>
      </c>
    </row>
    <row r="132" customFormat="false" ht="23.25" hidden="false" customHeight="true" outlineLevel="0" collapsed="false">
      <c r="A132" s="5" t="s">
        <v>656</v>
      </c>
      <c r="B132" s="5" t="s">
        <v>52</v>
      </c>
      <c r="C132" s="5" t="s">
        <v>657</v>
      </c>
      <c r="D132" s="5" t="s">
        <v>658</v>
      </c>
      <c r="E132" s="5" t="s">
        <v>63</v>
      </c>
      <c r="F132" s="5" t="n">
        <v>121</v>
      </c>
      <c r="G132" s="5" t="s">
        <v>64</v>
      </c>
      <c r="H132" s="5" t="n">
        <v>10</v>
      </c>
      <c r="I132" s="5" t="n">
        <v>34</v>
      </c>
      <c r="J132" s="5" t="s">
        <v>41</v>
      </c>
      <c r="K132" s="5" t="n">
        <v>12</v>
      </c>
      <c r="L132" s="5" t="s">
        <v>42</v>
      </c>
      <c r="M132" s="5"/>
      <c r="N132" s="5" t="s">
        <v>58</v>
      </c>
      <c r="O132" s="5"/>
      <c r="P132" s="5"/>
      <c r="Q132" s="5"/>
      <c r="R132" s="5"/>
      <c r="S132" s="5"/>
      <c r="T132" s="5" t="s">
        <v>44</v>
      </c>
      <c r="U132" s="5" t="s">
        <v>659</v>
      </c>
      <c r="V132" s="5" t="n">
        <v>-3.806809</v>
      </c>
      <c r="W132" s="5" t="n">
        <v>-38.593229</v>
      </c>
    </row>
    <row r="133" customFormat="false" ht="23.25" hidden="false" customHeight="true" outlineLevel="0" collapsed="false">
      <c r="A133" s="5" t="s">
        <v>660</v>
      </c>
      <c r="B133" s="5" t="s">
        <v>52</v>
      </c>
      <c r="C133" s="5" t="s">
        <v>661</v>
      </c>
      <c r="D133" s="5" t="s">
        <v>662</v>
      </c>
      <c r="E133" s="5" t="s">
        <v>663</v>
      </c>
      <c r="F133" s="5" t="n">
        <v>42</v>
      </c>
      <c r="G133" s="5" t="s">
        <v>96</v>
      </c>
      <c r="H133" s="5" t="n">
        <v>11</v>
      </c>
      <c r="I133" s="5" t="n">
        <v>38</v>
      </c>
      <c r="J133" s="5" t="s">
        <v>41</v>
      </c>
      <c r="K133" s="5" t="n">
        <v>11</v>
      </c>
      <c r="L133" s="5" t="s">
        <v>42</v>
      </c>
      <c r="M133" s="5"/>
      <c r="N133" s="5" t="s">
        <v>58</v>
      </c>
      <c r="O133" s="5"/>
      <c r="P133" s="5"/>
      <c r="Q133" s="5"/>
      <c r="R133" s="5"/>
      <c r="S133" s="5"/>
      <c r="T133" s="5" t="s">
        <v>44</v>
      </c>
      <c r="U133" s="5" t="s">
        <v>664</v>
      </c>
      <c r="V133" s="5" t="n">
        <v>-3.768325</v>
      </c>
      <c r="W133" s="5" t="n">
        <v>-38.59913</v>
      </c>
    </row>
    <row r="134" customFormat="false" ht="23.25" hidden="false" customHeight="true" outlineLevel="0" collapsed="false">
      <c r="A134" s="5" t="s">
        <v>665</v>
      </c>
      <c r="B134" s="5" t="s">
        <v>36</v>
      </c>
      <c r="C134" s="5" t="s">
        <v>666</v>
      </c>
      <c r="D134" s="5" t="s">
        <v>667</v>
      </c>
      <c r="E134" s="5" t="s">
        <v>654</v>
      </c>
      <c r="F134" s="5" t="n">
        <v>44</v>
      </c>
      <c r="G134" s="5" t="s">
        <v>96</v>
      </c>
      <c r="H134" s="5" t="n">
        <v>11</v>
      </c>
      <c r="I134" s="5" t="n">
        <v>38</v>
      </c>
      <c r="J134" s="5"/>
      <c r="K134" s="5" t="n">
        <v>7</v>
      </c>
      <c r="L134" s="5" t="s">
        <v>42</v>
      </c>
      <c r="M134" s="5"/>
      <c r="N134" s="5" t="s">
        <v>43</v>
      </c>
      <c r="O134" s="5"/>
      <c r="P134" s="5"/>
      <c r="Q134" s="6" t="n">
        <v>0</v>
      </c>
      <c r="R134" s="5"/>
      <c r="S134" s="5"/>
      <c r="T134" s="5" t="s">
        <v>42</v>
      </c>
      <c r="U134" s="5" t="s">
        <v>668</v>
      </c>
      <c r="V134" s="5" t="n">
        <v>-3.76816</v>
      </c>
      <c r="W134" s="5" t="n">
        <v>-38.596758</v>
      </c>
    </row>
    <row r="135" customFormat="false" ht="23.25" hidden="false" customHeight="true" outlineLevel="0" collapsed="false">
      <c r="A135" s="5" t="s">
        <v>669</v>
      </c>
      <c r="B135" s="5" t="s">
        <v>52</v>
      </c>
      <c r="C135" s="5" t="s">
        <v>670</v>
      </c>
      <c r="D135" s="5" t="s">
        <v>671</v>
      </c>
      <c r="E135" s="5" t="s">
        <v>107</v>
      </c>
      <c r="F135" s="5" t="n">
        <v>115</v>
      </c>
      <c r="G135" s="5" t="s">
        <v>71</v>
      </c>
      <c r="H135" s="5" t="n">
        <v>8</v>
      </c>
      <c r="I135" s="5" t="n">
        <v>21</v>
      </c>
      <c r="J135" s="5"/>
      <c r="K135" s="5" t="n">
        <v>7</v>
      </c>
      <c r="L135" s="5" t="s">
        <v>42</v>
      </c>
      <c r="M135" s="5"/>
      <c r="N135" s="5" t="s">
        <v>43</v>
      </c>
      <c r="O135" s="5"/>
      <c r="P135" s="5"/>
      <c r="Q135" s="6" t="n">
        <v>0</v>
      </c>
      <c r="R135" s="5"/>
      <c r="S135" s="5"/>
      <c r="T135" s="5" t="s">
        <v>42</v>
      </c>
      <c r="U135" s="5" t="s">
        <v>672</v>
      </c>
      <c r="V135" s="5" t="n">
        <v>-3.83807</v>
      </c>
      <c r="W135" s="5" t="n">
        <v>-38.580604</v>
      </c>
    </row>
    <row r="136" customFormat="false" ht="23.25" hidden="false" customHeight="true" outlineLevel="0" collapsed="false">
      <c r="A136" s="5" t="s">
        <v>673</v>
      </c>
      <c r="B136" s="5" t="s">
        <v>36</v>
      </c>
      <c r="C136" s="5" t="s">
        <v>674</v>
      </c>
      <c r="D136" s="5" t="s">
        <v>675</v>
      </c>
      <c r="E136" s="5" t="s">
        <v>112</v>
      </c>
      <c r="F136" s="5" t="n">
        <v>88</v>
      </c>
      <c r="G136" s="5" t="s">
        <v>71</v>
      </c>
      <c r="H136" s="5" t="n">
        <v>8</v>
      </c>
      <c r="I136" s="5" t="n">
        <v>20</v>
      </c>
      <c r="J136" s="5" t="s">
        <v>619</v>
      </c>
      <c r="K136" s="5" t="n">
        <v>5</v>
      </c>
      <c r="L136" s="5" t="s">
        <v>44</v>
      </c>
      <c r="M136" s="5" t="s">
        <v>97</v>
      </c>
      <c r="N136" s="5" t="s">
        <v>569</v>
      </c>
      <c r="O136" s="5"/>
      <c r="P136" s="5"/>
      <c r="Q136" s="5"/>
      <c r="R136" s="5"/>
      <c r="S136" s="5"/>
      <c r="T136" s="5" t="s">
        <v>44</v>
      </c>
      <c r="U136" s="5" t="s">
        <v>676</v>
      </c>
      <c r="V136" s="5" t="n">
        <v>-3.800117</v>
      </c>
      <c r="W136" s="5" t="n">
        <v>-38.540671</v>
      </c>
    </row>
    <row r="137" customFormat="false" ht="23.25" hidden="false" customHeight="true" outlineLevel="0" collapsed="false">
      <c r="A137" s="5" t="s">
        <v>677</v>
      </c>
      <c r="B137" s="5" t="s">
        <v>52</v>
      </c>
      <c r="C137" s="5" t="s">
        <v>678</v>
      </c>
      <c r="D137" s="5" t="s">
        <v>679</v>
      </c>
      <c r="E137" s="5" t="s">
        <v>282</v>
      </c>
      <c r="F137" s="5" t="n">
        <v>37</v>
      </c>
      <c r="G137" s="5" t="s">
        <v>56</v>
      </c>
      <c r="H137" s="5" t="n">
        <v>2</v>
      </c>
      <c r="I137" s="5" t="n">
        <v>9</v>
      </c>
      <c r="J137" s="5" t="s">
        <v>619</v>
      </c>
      <c r="K137" s="5" t="n">
        <v>5</v>
      </c>
      <c r="L137" s="5" t="s">
        <v>42</v>
      </c>
      <c r="M137" s="5"/>
      <c r="N137" s="5" t="s">
        <v>569</v>
      </c>
      <c r="O137" s="5"/>
      <c r="P137" s="5"/>
      <c r="Q137" s="5"/>
      <c r="R137" s="5"/>
      <c r="S137" s="5"/>
      <c r="T137" s="5" t="s">
        <v>44</v>
      </c>
      <c r="U137" s="5" t="s">
        <v>680</v>
      </c>
      <c r="V137" s="5" t="n">
        <v>-3.726526</v>
      </c>
      <c r="W137" s="5" t="n">
        <v>-38.47699</v>
      </c>
    </row>
    <row r="138" customFormat="false" ht="23.25" hidden="false" customHeight="true" outlineLevel="0" collapsed="false">
      <c r="A138" s="5" t="s">
        <v>681</v>
      </c>
      <c r="B138" s="5" t="s">
        <v>52</v>
      </c>
      <c r="C138" s="5" t="s">
        <v>682</v>
      </c>
      <c r="D138" s="5" t="s">
        <v>683</v>
      </c>
      <c r="E138" s="5" t="s">
        <v>684</v>
      </c>
      <c r="F138" s="5" t="n">
        <v>3</v>
      </c>
      <c r="G138" s="5" t="s">
        <v>40</v>
      </c>
      <c r="H138" s="5" t="n">
        <v>1</v>
      </c>
      <c r="I138" s="5" t="n">
        <v>6</v>
      </c>
      <c r="J138" s="5" t="s">
        <v>41</v>
      </c>
      <c r="K138" s="5" t="n">
        <v>15</v>
      </c>
      <c r="L138" s="5" t="s">
        <v>42</v>
      </c>
      <c r="M138" s="5"/>
      <c r="N138" s="5" t="s">
        <v>58</v>
      </c>
      <c r="O138" s="5"/>
      <c r="P138" s="5"/>
      <c r="Q138" s="5"/>
      <c r="R138" s="5"/>
      <c r="S138" s="5"/>
      <c r="T138" s="5" t="s">
        <v>44</v>
      </c>
      <c r="U138" s="5" t="s">
        <v>685</v>
      </c>
      <c r="V138" s="5" t="n">
        <v>-3.715282</v>
      </c>
      <c r="W138" s="5" t="n">
        <v>-38.561998</v>
      </c>
    </row>
    <row r="139" customFormat="false" ht="34.5" hidden="false" customHeight="true" outlineLevel="0" collapsed="false">
      <c r="A139" s="5" t="s">
        <v>686</v>
      </c>
      <c r="B139" s="5" t="s">
        <v>36</v>
      </c>
      <c r="C139" s="5" t="s">
        <v>687</v>
      </c>
      <c r="D139" s="5" t="s">
        <v>688</v>
      </c>
      <c r="E139" s="5" t="s">
        <v>493</v>
      </c>
      <c r="F139" s="5" t="n">
        <v>47</v>
      </c>
      <c r="G139" s="5" t="s">
        <v>96</v>
      </c>
      <c r="H139" s="5" t="n">
        <v>3</v>
      </c>
      <c r="I139" s="5" t="n">
        <v>12</v>
      </c>
      <c r="J139" s="5" t="s">
        <v>65</v>
      </c>
      <c r="K139" s="5" t="n">
        <v>8</v>
      </c>
      <c r="L139" s="5" t="s">
        <v>42</v>
      </c>
      <c r="M139" s="5"/>
      <c r="N139" s="5" t="s">
        <v>43</v>
      </c>
      <c r="O139" s="5"/>
      <c r="P139" s="5"/>
      <c r="Q139" s="6" t="n">
        <v>0</v>
      </c>
      <c r="R139" s="5"/>
      <c r="S139" s="5"/>
      <c r="T139" s="5" t="s">
        <v>42</v>
      </c>
      <c r="U139" s="5" t="s">
        <v>689</v>
      </c>
      <c r="V139" s="5" t="n">
        <v>-3.73074</v>
      </c>
      <c r="W139" s="5" t="n">
        <v>-38.58093</v>
      </c>
    </row>
    <row r="140" customFormat="false" ht="23.25" hidden="false" customHeight="true" outlineLevel="0" collapsed="false">
      <c r="A140" s="5" t="s">
        <v>690</v>
      </c>
      <c r="B140" s="5" t="s">
        <v>52</v>
      </c>
      <c r="C140" s="5" t="s">
        <v>691</v>
      </c>
      <c r="D140" s="5" t="s">
        <v>692</v>
      </c>
      <c r="E140" s="5" t="s">
        <v>121</v>
      </c>
      <c r="F140" s="5" t="n">
        <v>12</v>
      </c>
      <c r="G140" s="5" t="s">
        <v>40</v>
      </c>
      <c r="H140" s="5" t="n">
        <v>1</v>
      </c>
      <c r="I140" s="5" t="n">
        <v>4</v>
      </c>
      <c r="J140" s="5" t="s">
        <v>41</v>
      </c>
      <c r="K140" s="5" t="n">
        <v>14</v>
      </c>
      <c r="L140" s="5" t="s">
        <v>42</v>
      </c>
      <c r="M140" s="5"/>
      <c r="N140" s="5" t="s">
        <v>58</v>
      </c>
      <c r="O140" s="5"/>
      <c r="P140" s="5"/>
      <c r="Q140" s="5"/>
      <c r="R140" s="5"/>
      <c r="S140" s="5"/>
      <c r="T140" s="5" t="s">
        <v>44</v>
      </c>
      <c r="U140" s="5" t="s">
        <v>693</v>
      </c>
      <c r="V140" s="5" t="n">
        <v>-3.706174</v>
      </c>
      <c r="W140" s="5" t="n">
        <v>-38.559514</v>
      </c>
    </row>
    <row r="141" customFormat="false" ht="23.25" hidden="false" customHeight="true" outlineLevel="0" collapsed="false">
      <c r="A141" s="5" t="s">
        <v>694</v>
      </c>
      <c r="B141" s="5" t="s">
        <v>36</v>
      </c>
      <c r="C141" s="5" t="s">
        <v>695</v>
      </c>
      <c r="D141" s="5" t="s">
        <v>696</v>
      </c>
      <c r="E141" s="5" t="s">
        <v>493</v>
      </c>
      <c r="F141" s="5" t="n">
        <v>47</v>
      </c>
      <c r="G141" s="5" t="s">
        <v>96</v>
      </c>
      <c r="H141" s="5" t="n">
        <v>3</v>
      </c>
      <c r="I141" s="5" t="n">
        <v>12</v>
      </c>
      <c r="J141" s="5" t="s">
        <v>41</v>
      </c>
      <c r="K141" s="5" t="n">
        <v>4</v>
      </c>
      <c r="L141" s="5" t="s">
        <v>42</v>
      </c>
      <c r="M141" s="5"/>
      <c r="N141" s="5" t="s">
        <v>697</v>
      </c>
      <c r="O141" s="6" t="n">
        <v>12140.51</v>
      </c>
      <c r="P141" s="5" t="s">
        <v>311</v>
      </c>
      <c r="Q141" s="6" t="n">
        <v>12140.51</v>
      </c>
      <c r="R141" s="5" t="s">
        <v>698</v>
      </c>
      <c r="S141" s="5"/>
      <c r="T141" s="5" t="s">
        <v>44</v>
      </c>
      <c r="U141" s="5" t="s">
        <v>699</v>
      </c>
      <c r="V141" s="5" t="n">
        <v>-3.739843</v>
      </c>
      <c r="W141" s="5" t="n">
        <v>-38.581581</v>
      </c>
    </row>
    <row r="142" customFormat="false" ht="23.25" hidden="false" customHeight="true" outlineLevel="0" collapsed="false">
      <c r="A142" s="5" t="s">
        <v>700</v>
      </c>
      <c r="B142" s="5" t="s">
        <v>52</v>
      </c>
      <c r="C142" s="5" t="s">
        <v>701</v>
      </c>
      <c r="D142" s="5" t="s">
        <v>702</v>
      </c>
      <c r="E142" s="5" t="s">
        <v>703</v>
      </c>
      <c r="F142" s="5" t="n">
        <v>72</v>
      </c>
      <c r="G142" s="5" t="s">
        <v>64</v>
      </c>
      <c r="H142" s="5" t="n">
        <v>5</v>
      </c>
      <c r="I142" s="5" t="n">
        <v>39</v>
      </c>
      <c r="J142" s="5"/>
      <c r="K142" s="5" t="n">
        <v>8</v>
      </c>
      <c r="L142" s="5" t="s">
        <v>42</v>
      </c>
      <c r="M142" s="5"/>
      <c r="N142" s="5" t="s">
        <v>43</v>
      </c>
      <c r="O142" s="5"/>
      <c r="P142" s="5"/>
      <c r="Q142" s="6" t="n">
        <v>0</v>
      </c>
      <c r="R142" s="5"/>
      <c r="S142" s="5"/>
      <c r="T142" s="5" t="s">
        <v>42</v>
      </c>
      <c r="U142" s="5" t="s">
        <v>704</v>
      </c>
      <c r="V142" s="5" t="n">
        <v>-3.790729</v>
      </c>
      <c r="W142" s="5" t="n">
        <v>-38.597821</v>
      </c>
    </row>
    <row r="143" customFormat="false" ht="23.25" hidden="false" customHeight="true" outlineLevel="0" collapsed="false">
      <c r="A143" s="5" t="s">
        <v>705</v>
      </c>
      <c r="B143" s="5" t="s">
        <v>52</v>
      </c>
      <c r="C143" s="5" t="s">
        <v>706</v>
      </c>
      <c r="D143" s="5" t="s">
        <v>707</v>
      </c>
      <c r="E143" s="5" t="s">
        <v>708</v>
      </c>
      <c r="F143" s="5" t="n">
        <v>101</v>
      </c>
      <c r="G143" s="5" t="s">
        <v>96</v>
      </c>
      <c r="H143" s="5" t="n">
        <v>11</v>
      </c>
      <c r="I143" s="5" t="n">
        <v>37</v>
      </c>
      <c r="J143" s="5"/>
      <c r="K143" s="5" t="n">
        <v>8</v>
      </c>
      <c r="L143" s="5" t="s">
        <v>42</v>
      </c>
      <c r="M143" s="5"/>
      <c r="N143" s="5" t="s">
        <v>43</v>
      </c>
      <c r="O143" s="5"/>
      <c r="P143" s="5"/>
      <c r="Q143" s="6" t="n">
        <v>0</v>
      </c>
      <c r="R143" s="5"/>
      <c r="S143" s="5"/>
      <c r="T143" s="5" t="s">
        <v>42</v>
      </c>
      <c r="U143" s="5" t="s">
        <v>709</v>
      </c>
      <c r="V143" s="5" t="n">
        <v>-3.768163</v>
      </c>
      <c r="W143" s="5" t="n">
        <v>-38.577678</v>
      </c>
    </row>
    <row r="144" customFormat="false" ht="23.25" hidden="false" customHeight="true" outlineLevel="0" collapsed="false">
      <c r="A144" s="5" t="s">
        <v>710</v>
      </c>
      <c r="B144" s="5" t="s">
        <v>52</v>
      </c>
      <c r="C144" s="5" t="s">
        <v>711</v>
      </c>
      <c r="D144" s="5" t="s">
        <v>712</v>
      </c>
      <c r="E144" s="5" t="s">
        <v>156</v>
      </c>
      <c r="F144" s="5" t="n">
        <v>6</v>
      </c>
      <c r="G144" s="5" t="s">
        <v>40</v>
      </c>
      <c r="H144" s="5" t="n">
        <v>1</v>
      </c>
      <c r="I144" s="5" t="n">
        <v>3</v>
      </c>
      <c r="J144" s="5" t="s">
        <v>568</v>
      </c>
      <c r="K144" s="5" t="n">
        <v>11</v>
      </c>
      <c r="L144" s="5" t="s">
        <v>42</v>
      </c>
      <c r="M144" s="5"/>
      <c r="N144" s="5" t="s">
        <v>569</v>
      </c>
      <c r="O144" s="5"/>
      <c r="P144" s="5"/>
      <c r="Q144" s="5"/>
      <c r="R144" s="5"/>
      <c r="S144" s="5"/>
      <c r="T144" s="5" t="s">
        <v>42</v>
      </c>
      <c r="U144" s="5" t="s">
        <v>713</v>
      </c>
      <c r="V144" s="5" t="n">
        <v>-3.70494</v>
      </c>
      <c r="W144" s="5" t="n">
        <v>-38.576493</v>
      </c>
    </row>
    <row r="145" customFormat="false" ht="23.25" hidden="false" customHeight="true" outlineLevel="0" collapsed="false">
      <c r="A145" s="5" t="s">
        <v>714</v>
      </c>
      <c r="B145" s="5" t="s">
        <v>52</v>
      </c>
      <c r="C145" s="5" t="s">
        <v>715</v>
      </c>
      <c r="D145" s="5" t="s">
        <v>716</v>
      </c>
      <c r="E145" s="5" t="s">
        <v>507</v>
      </c>
      <c r="F145" s="5" t="n">
        <v>20</v>
      </c>
      <c r="G145" s="5" t="s">
        <v>40</v>
      </c>
      <c r="H145" s="5" t="n">
        <v>1</v>
      </c>
      <c r="I145" s="5" t="n">
        <v>2</v>
      </c>
      <c r="J145" s="5"/>
      <c r="K145" s="5" t="n">
        <v>8</v>
      </c>
      <c r="L145" s="5" t="s">
        <v>42</v>
      </c>
      <c r="M145" s="5"/>
      <c r="N145" s="5" t="s">
        <v>43</v>
      </c>
      <c r="O145" s="5"/>
      <c r="P145" s="5"/>
      <c r="Q145" s="6" t="n">
        <v>0</v>
      </c>
      <c r="R145" s="5"/>
      <c r="S145" s="5"/>
      <c r="T145" s="5" t="s">
        <v>42</v>
      </c>
      <c r="U145" s="5" t="s">
        <v>717</v>
      </c>
      <c r="V145" s="5" t="n">
        <v>-3.721614</v>
      </c>
      <c r="W145" s="5" t="n">
        <v>-38.591362</v>
      </c>
    </row>
    <row r="146" customFormat="false" ht="23.25" hidden="false" customHeight="true" outlineLevel="0" collapsed="false">
      <c r="A146" s="5" t="s">
        <v>718</v>
      </c>
      <c r="B146" s="5" t="s">
        <v>36</v>
      </c>
      <c r="C146" s="5" t="s">
        <v>719</v>
      </c>
      <c r="D146" s="5" t="s">
        <v>720</v>
      </c>
      <c r="E146" s="5" t="s">
        <v>721</v>
      </c>
      <c r="F146" s="5" t="n">
        <v>52</v>
      </c>
      <c r="G146" s="5" t="s">
        <v>330</v>
      </c>
      <c r="H146" s="5" t="n">
        <v>9</v>
      </c>
      <c r="I146" s="5" t="n">
        <v>31</v>
      </c>
      <c r="J146" s="5" t="s">
        <v>41</v>
      </c>
      <c r="K146" s="5" t="n">
        <v>5</v>
      </c>
      <c r="L146" s="5" t="s">
        <v>42</v>
      </c>
      <c r="M146" s="5"/>
      <c r="N146" s="5" t="s">
        <v>697</v>
      </c>
      <c r="O146" s="6" t="n">
        <v>7280.02</v>
      </c>
      <c r="P146" s="5" t="s">
        <v>311</v>
      </c>
      <c r="Q146" s="6" t="n">
        <v>7280.02</v>
      </c>
      <c r="R146" s="5" t="s">
        <v>722</v>
      </c>
      <c r="S146" s="5"/>
      <c r="T146" s="5" t="s">
        <v>44</v>
      </c>
      <c r="U146" s="5" t="s">
        <v>723</v>
      </c>
      <c r="V146" s="5" t="n">
        <v>-3.815015</v>
      </c>
      <c r="W146" s="5" t="n">
        <v>-38.503274</v>
      </c>
    </row>
    <row r="147" customFormat="false" ht="23.25" hidden="false" customHeight="true" outlineLevel="0" collapsed="false">
      <c r="A147" s="5" t="s">
        <v>724</v>
      </c>
      <c r="B147" s="5" t="s">
        <v>36</v>
      </c>
      <c r="C147" s="5" t="s">
        <v>725</v>
      </c>
      <c r="D147" s="5" t="s">
        <v>726</v>
      </c>
      <c r="E147" s="5" t="s">
        <v>727</v>
      </c>
      <c r="F147" s="5" t="n">
        <v>75</v>
      </c>
      <c r="G147" s="5" t="s">
        <v>96</v>
      </c>
      <c r="H147" s="5" t="n">
        <v>11</v>
      </c>
      <c r="I147" s="5" t="n">
        <v>38</v>
      </c>
      <c r="J147" s="5" t="s">
        <v>41</v>
      </c>
      <c r="K147" s="5" t="n">
        <v>9</v>
      </c>
      <c r="L147" s="5" t="s">
        <v>42</v>
      </c>
      <c r="M147" s="5"/>
      <c r="N147" s="5" t="s">
        <v>697</v>
      </c>
      <c r="O147" s="5" t="s">
        <v>523</v>
      </c>
      <c r="P147" s="5" t="s">
        <v>311</v>
      </c>
      <c r="Q147" s="6" t="n">
        <v>0</v>
      </c>
      <c r="R147" s="5" t="s">
        <v>728</v>
      </c>
      <c r="S147" s="5"/>
      <c r="T147" s="5" t="s">
        <v>44</v>
      </c>
      <c r="U147" s="5" t="s">
        <v>729</v>
      </c>
      <c r="V147" s="5" t="n">
        <v>-3.774401</v>
      </c>
      <c r="W147" s="5" t="n">
        <v>-38.618447</v>
      </c>
    </row>
    <row r="148" customFormat="false" ht="23.25" hidden="false" customHeight="true" outlineLevel="0" collapsed="false">
      <c r="A148" s="5" t="s">
        <v>730</v>
      </c>
      <c r="B148" s="5" t="s">
        <v>275</v>
      </c>
      <c r="C148" s="5" t="s">
        <v>731</v>
      </c>
      <c r="D148" s="5" t="s">
        <v>732</v>
      </c>
      <c r="E148" s="5" t="s">
        <v>199</v>
      </c>
      <c r="F148" s="5" t="n">
        <v>39</v>
      </c>
      <c r="G148" s="5" t="s">
        <v>40</v>
      </c>
      <c r="H148" s="5" t="n">
        <v>1</v>
      </c>
      <c r="I148" s="5" t="n">
        <v>2</v>
      </c>
      <c r="J148" s="5" t="s">
        <v>568</v>
      </c>
      <c r="K148" s="5" t="n">
        <v>12</v>
      </c>
      <c r="L148" s="5" t="s">
        <v>44</v>
      </c>
      <c r="M148" s="5" t="s">
        <v>733</v>
      </c>
      <c r="N148" s="5" t="s">
        <v>569</v>
      </c>
      <c r="O148" s="5"/>
      <c r="P148" s="5"/>
      <c r="Q148" s="5"/>
      <c r="R148" s="5"/>
      <c r="S148" s="5"/>
      <c r="T148" s="5" t="s">
        <v>42</v>
      </c>
      <c r="U148" s="5" t="s">
        <v>734</v>
      </c>
      <c r="V148" s="5" t="n">
        <v>-3.71398</v>
      </c>
      <c r="W148" s="5" t="n">
        <v>-38.600774</v>
      </c>
    </row>
    <row r="149" customFormat="false" ht="23.25" hidden="false" customHeight="true" outlineLevel="0" collapsed="false">
      <c r="A149" s="5" t="s">
        <v>735</v>
      </c>
      <c r="B149" s="5" t="s">
        <v>52</v>
      </c>
      <c r="C149" s="5" t="s">
        <v>736</v>
      </c>
      <c r="D149" s="5" t="s">
        <v>737</v>
      </c>
      <c r="E149" s="5" t="s">
        <v>63</v>
      </c>
      <c r="F149" s="5" t="n">
        <v>121</v>
      </c>
      <c r="G149" s="5" t="s">
        <v>64</v>
      </c>
      <c r="H149" s="5" t="n">
        <v>10</v>
      </c>
      <c r="I149" s="5" t="n">
        <v>34</v>
      </c>
      <c r="J149" s="5"/>
      <c r="K149" s="5" t="n">
        <v>8</v>
      </c>
      <c r="L149" s="5" t="s">
        <v>42</v>
      </c>
      <c r="M149" s="5"/>
      <c r="N149" s="5" t="s">
        <v>43</v>
      </c>
      <c r="O149" s="5"/>
      <c r="P149" s="5"/>
      <c r="Q149" s="6" t="n">
        <v>0</v>
      </c>
      <c r="R149" s="5"/>
      <c r="S149" s="5"/>
      <c r="T149" s="5" t="s">
        <v>42</v>
      </c>
      <c r="U149" s="5" t="s">
        <v>738</v>
      </c>
      <c r="V149" s="5" t="n">
        <v>-3.811069</v>
      </c>
      <c r="W149" s="5" t="n">
        <v>-38.584562</v>
      </c>
    </row>
    <row r="150" customFormat="false" ht="23.25" hidden="false" customHeight="true" outlineLevel="0" collapsed="false">
      <c r="A150" s="5" t="s">
        <v>739</v>
      </c>
      <c r="B150" s="5" t="s">
        <v>52</v>
      </c>
      <c r="C150" s="5" t="s">
        <v>740</v>
      </c>
      <c r="D150" s="5" t="s">
        <v>741</v>
      </c>
      <c r="E150" s="5" t="s">
        <v>369</v>
      </c>
      <c r="F150" s="5" t="n">
        <v>74</v>
      </c>
      <c r="G150" s="5" t="s">
        <v>64</v>
      </c>
      <c r="H150" s="5" t="n">
        <v>10</v>
      </c>
      <c r="I150" s="5" t="n">
        <v>34</v>
      </c>
      <c r="J150" s="5"/>
      <c r="K150" s="5" t="n">
        <v>8</v>
      </c>
      <c r="L150" s="5" t="s">
        <v>42</v>
      </c>
      <c r="M150" s="5"/>
      <c r="N150" s="5" t="s">
        <v>43</v>
      </c>
      <c r="O150" s="5"/>
      <c r="P150" s="5"/>
      <c r="Q150" s="6" t="n">
        <v>0</v>
      </c>
      <c r="R150" s="5"/>
      <c r="S150" s="5"/>
      <c r="T150" s="5" t="s">
        <v>42</v>
      </c>
      <c r="U150" s="5" t="s">
        <v>742</v>
      </c>
      <c r="V150" s="5" t="n">
        <v>-3.801766</v>
      </c>
      <c r="W150" s="5" t="n">
        <v>-38.598665</v>
      </c>
    </row>
    <row r="151" customFormat="false" ht="23.25" hidden="false" customHeight="true" outlineLevel="0" collapsed="false">
      <c r="A151" s="5" t="s">
        <v>743</v>
      </c>
      <c r="B151" s="5" t="s">
        <v>52</v>
      </c>
      <c r="C151" s="5" t="s">
        <v>744</v>
      </c>
      <c r="D151" s="5" t="s">
        <v>745</v>
      </c>
      <c r="E151" s="5" t="s">
        <v>156</v>
      </c>
      <c r="F151" s="5" t="n">
        <v>6</v>
      </c>
      <c r="G151" s="5" t="s">
        <v>40</v>
      </c>
      <c r="H151" s="5" t="n">
        <v>1</v>
      </c>
      <c r="I151" s="5" t="n">
        <v>3</v>
      </c>
      <c r="J151" s="5" t="s">
        <v>568</v>
      </c>
      <c r="K151" s="5" t="n">
        <v>12</v>
      </c>
      <c r="L151" s="5" t="s">
        <v>44</v>
      </c>
      <c r="M151" s="5" t="s">
        <v>746</v>
      </c>
      <c r="N151" s="5" t="s">
        <v>569</v>
      </c>
      <c r="O151" s="5"/>
      <c r="P151" s="5"/>
      <c r="Q151" s="5"/>
      <c r="R151" s="5"/>
      <c r="S151" s="5"/>
      <c r="T151" s="5" t="s">
        <v>42</v>
      </c>
      <c r="U151" s="5" t="s">
        <v>747</v>
      </c>
      <c r="V151" s="5" t="n">
        <v>-3.708211</v>
      </c>
      <c r="W151" s="5" t="n">
        <v>-38.58384</v>
      </c>
    </row>
    <row r="152" customFormat="false" ht="23.25" hidden="false" customHeight="true" outlineLevel="0" collapsed="false">
      <c r="A152" s="5" t="s">
        <v>748</v>
      </c>
      <c r="B152" s="5" t="s">
        <v>36</v>
      </c>
      <c r="C152" s="5" t="s">
        <v>749</v>
      </c>
      <c r="D152" s="5" t="s">
        <v>750</v>
      </c>
      <c r="E152" s="5" t="s">
        <v>727</v>
      </c>
      <c r="F152" s="5" t="n">
        <v>75</v>
      </c>
      <c r="G152" s="5" t="s">
        <v>96</v>
      </c>
      <c r="H152" s="5" t="n">
        <v>11</v>
      </c>
      <c r="I152" s="5" t="n">
        <v>38</v>
      </c>
      <c r="J152" s="5" t="s">
        <v>41</v>
      </c>
      <c r="K152" s="5" t="n">
        <v>9</v>
      </c>
      <c r="L152" s="5" t="s">
        <v>42</v>
      </c>
      <c r="M152" s="5"/>
      <c r="N152" s="5" t="s">
        <v>697</v>
      </c>
      <c r="O152" s="5" t="s">
        <v>523</v>
      </c>
      <c r="P152" s="5" t="s">
        <v>311</v>
      </c>
      <c r="Q152" s="6" t="n">
        <v>0</v>
      </c>
      <c r="R152" s="5" t="s">
        <v>728</v>
      </c>
      <c r="S152" s="5"/>
      <c r="T152" s="5" t="s">
        <v>44</v>
      </c>
      <c r="U152" s="5" t="s">
        <v>751</v>
      </c>
      <c r="V152" s="5" t="n">
        <v>-3.772159</v>
      </c>
      <c r="W152" s="5" t="n">
        <v>-38.602729</v>
      </c>
    </row>
    <row r="153" customFormat="false" ht="23.25" hidden="false" customHeight="true" outlineLevel="0" collapsed="false">
      <c r="A153" s="5" t="s">
        <v>752</v>
      </c>
      <c r="B153" s="5" t="s">
        <v>52</v>
      </c>
      <c r="C153" s="5" t="s">
        <v>753</v>
      </c>
      <c r="D153" s="5" t="s">
        <v>566</v>
      </c>
      <c r="E153" s="5" t="s">
        <v>567</v>
      </c>
      <c r="F153" s="5" t="n">
        <v>10</v>
      </c>
      <c r="G153" s="5" t="s">
        <v>40</v>
      </c>
      <c r="H153" s="5" t="n">
        <v>12</v>
      </c>
      <c r="I153" s="5" t="n">
        <v>1</v>
      </c>
      <c r="J153" s="5"/>
      <c r="K153" s="5" t="n">
        <v>8</v>
      </c>
      <c r="L153" s="5" t="s">
        <v>42</v>
      </c>
      <c r="M153" s="5"/>
      <c r="N153" s="5" t="s">
        <v>43</v>
      </c>
      <c r="O153" s="5"/>
      <c r="P153" s="5"/>
      <c r="Q153" s="6" t="n">
        <v>0</v>
      </c>
      <c r="R153" s="5"/>
      <c r="S153" s="5"/>
      <c r="T153" s="5" t="s">
        <v>42</v>
      </c>
      <c r="U153" s="5" t="s">
        <v>570</v>
      </c>
      <c r="V153" s="5" t="n">
        <v>-3.721613</v>
      </c>
      <c r="W153" s="5" t="n">
        <v>-38.535371</v>
      </c>
    </row>
    <row r="154" customFormat="false" ht="23.25" hidden="false" customHeight="true" outlineLevel="0" collapsed="false">
      <c r="A154" s="5" t="s">
        <v>754</v>
      </c>
      <c r="B154" s="5" t="s">
        <v>52</v>
      </c>
      <c r="C154" s="5" t="s">
        <v>755</v>
      </c>
      <c r="D154" s="5" t="s">
        <v>756</v>
      </c>
      <c r="E154" s="5" t="s">
        <v>447</v>
      </c>
      <c r="F154" s="5" t="n">
        <v>21</v>
      </c>
      <c r="G154" s="5" t="s">
        <v>40</v>
      </c>
      <c r="H154" s="5" t="n">
        <v>1</v>
      </c>
      <c r="I154" s="5" t="n">
        <v>6</v>
      </c>
      <c r="J154" s="5" t="s">
        <v>568</v>
      </c>
      <c r="K154" s="5" t="n">
        <v>13</v>
      </c>
      <c r="L154" s="5" t="s">
        <v>42</v>
      </c>
      <c r="M154" s="5"/>
      <c r="N154" s="5" t="s">
        <v>569</v>
      </c>
      <c r="O154" s="5"/>
      <c r="P154" s="5"/>
      <c r="Q154" s="5"/>
      <c r="R154" s="5"/>
      <c r="S154" s="5"/>
      <c r="T154" s="5" t="s">
        <v>42</v>
      </c>
      <c r="U154" s="5" t="s">
        <v>757</v>
      </c>
      <c r="V154" s="5" t="n">
        <v>-3.729379</v>
      </c>
      <c r="W154" s="5" t="n">
        <v>-38.583388</v>
      </c>
    </row>
    <row r="155" customFormat="false" ht="23.25" hidden="false" customHeight="true" outlineLevel="0" collapsed="false">
      <c r="A155" s="5" t="s">
        <v>758</v>
      </c>
      <c r="B155" s="5" t="s">
        <v>36</v>
      </c>
      <c r="C155" s="5" t="s">
        <v>759</v>
      </c>
      <c r="D155" s="5" t="s">
        <v>760</v>
      </c>
      <c r="E155" s="5" t="s">
        <v>663</v>
      </c>
      <c r="F155" s="5" t="n">
        <v>42</v>
      </c>
      <c r="G155" s="5" t="s">
        <v>96</v>
      </c>
      <c r="H155" s="5" t="n">
        <v>11</v>
      </c>
      <c r="I155" s="5" t="n">
        <v>38</v>
      </c>
      <c r="J155" s="5" t="s">
        <v>41</v>
      </c>
      <c r="K155" s="5" t="n">
        <v>9</v>
      </c>
      <c r="L155" s="5" t="s">
        <v>42</v>
      </c>
      <c r="M155" s="5"/>
      <c r="N155" s="5" t="s">
        <v>697</v>
      </c>
      <c r="O155" s="5" t="s">
        <v>523</v>
      </c>
      <c r="P155" s="5" t="s">
        <v>311</v>
      </c>
      <c r="Q155" s="6" t="n">
        <v>0</v>
      </c>
      <c r="R155" s="5" t="s">
        <v>728</v>
      </c>
      <c r="S155" s="5"/>
      <c r="T155" s="5" t="s">
        <v>44</v>
      </c>
      <c r="U155" s="5" t="s">
        <v>761</v>
      </c>
      <c r="V155" s="5" t="n">
        <v>-3.7649</v>
      </c>
      <c r="W155" s="5" t="n">
        <v>-38.608717</v>
      </c>
    </row>
    <row r="156" customFormat="false" ht="23.25" hidden="false" customHeight="true" outlineLevel="0" collapsed="false">
      <c r="A156" s="5" t="s">
        <v>762</v>
      </c>
      <c r="B156" s="5" t="s">
        <v>275</v>
      </c>
      <c r="C156" s="5" t="s">
        <v>763</v>
      </c>
      <c r="D156" s="5" t="s">
        <v>764</v>
      </c>
      <c r="E156" s="5" t="s">
        <v>765</v>
      </c>
      <c r="F156" s="5" t="n">
        <v>69</v>
      </c>
      <c r="G156" s="5" t="s">
        <v>330</v>
      </c>
      <c r="H156" s="5" t="n">
        <v>9</v>
      </c>
      <c r="I156" s="5" t="n">
        <v>33</v>
      </c>
      <c r="J156" s="5"/>
      <c r="K156" s="5" t="n">
        <v>8</v>
      </c>
      <c r="L156" s="5" t="s">
        <v>42</v>
      </c>
      <c r="M156" s="5"/>
      <c r="N156" s="5" t="s">
        <v>43</v>
      </c>
      <c r="O156" s="5"/>
      <c r="P156" s="5"/>
      <c r="Q156" s="6" t="n">
        <v>0</v>
      </c>
      <c r="R156" s="5"/>
      <c r="S156" s="5"/>
      <c r="T156" s="5" t="s">
        <v>42</v>
      </c>
      <c r="U156" s="5" t="s">
        <v>766</v>
      </c>
      <c r="V156" s="5" t="n">
        <v>-3.879807</v>
      </c>
      <c r="W156" s="5" t="n">
        <v>-38.530262</v>
      </c>
    </row>
    <row r="157" customFormat="false" ht="23.25" hidden="false" customHeight="true" outlineLevel="0" collapsed="false">
      <c r="A157" s="5" t="s">
        <v>767</v>
      </c>
      <c r="B157" s="5" t="s">
        <v>52</v>
      </c>
      <c r="C157" s="5" t="s">
        <v>768</v>
      </c>
      <c r="D157" s="5" t="s">
        <v>769</v>
      </c>
      <c r="E157" s="5" t="s">
        <v>190</v>
      </c>
      <c r="F157" s="5" t="n">
        <v>57</v>
      </c>
      <c r="G157" s="5" t="s">
        <v>56</v>
      </c>
      <c r="H157" s="5" t="n">
        <v>7</v>
      </c>
      <c r="I157" s="5" t="n">
        <v>25</v>
      </c>
      <c r="J157" s="5" t="s">
        <v>619</v>
      </c>
      <c r="K157" s="5" t="n">
        <v>6</v>
      </c>
      <c r="L157" s="5" t="s">
        <v>42</v>
      </c>
      <c r="M157" s="5"/>
      <c r="N157" s="5" t="s">
        <v>569</v>
      </c>
      <c r="O157" s="5"/>
      <c r="P157" s="5"/>
      <c r="Q157" s="5"/>
      <c r="R157" s="5"/>
      <c r="S157" s="5"/>
      <c r="T157" s="5" t="s">
        <v>44</v>
      </c>
      <c r="U157" s="5" t="s">
        <v>770</v>
      </c>
      <c r="V157" s="5" t="n">
        <v>-3.778012</v>
      </c>
      <c r="W157" s="5" t="n">
        <v>-38.477226</v>
      </c>
    </row>
    <row r="158" customFormat="false" ht="23.25" hidden="false" customHeight="true" outlineLevel="0" collapsed="false">
      <c r="A158" s="5" t="s">
        <v>771</v>
      </c>
      <c r="B158" s="5" t="s">
        <v>52</v>
      </c>
      <c r="C158" s="5" t="s">
        <v>772</v>
      </c>
      <c r="D158" s="5" t="s">
        <v>773</v>
      </c>
      <c r="E158" s="5" t="s">
        <v>422</v>
      </c>
      <c r="F158" s="5" t="n">
        <v>68</v>
      </c>
      <c r="G158" s="5" t="s">
        <v>330</v>
      </c>
      <c r="H158" s="5" t="n">
        <v>6</v>
      </c>
      <c r="I158" s="5" t="n">
        <v>30</v>
      </c>
      <c r="J158" s="5"/>
      <c r="K158" s="5" t="n">
        <v>8</v>
      </c>
      <c r="L158" s="5" t="s">
        <v>42</v>
      </c>
      <c r="M158" s="5"/>
      <c r="N158" s="5" t="s">
        <v>43</v>
      </c>
      <c r="O158" s="6" t="n">
        <v>107349.41</v>
      </c>
      <c r="P158" s="5" t="s">
        <v>774</v>
      </c>
      <c r="Q158" s="6" t="n">
        <v>107349.41</v>
      </c>
      <c r="R158" s="5" t="s">
        <v>591</v>
      </c>
      <c r="S158" s="5"/>
      <c r="T158" s="5" t="s">
        <v>42</v>
      </c>
      <c r="U158" s="5" t="s">
        <v>775</v>
      </c>
      <c r="V158" s="5" t="n">
        <v>-3.838618</v>
      </c>
      <c r="W158" s="5" t="n">
        <v>-38.490512</v>
      </c>
    </row>
    <row r="159" customFormat="false" ht="23.25" hidden="false" customHeight="true" outlineLevel="0" collapsed="false">
      <c r="A159" s="5" t="s">
        <v>776</v>
      </c>
      <c r="B159" s="5" t="s">
        <v>300</v>
      </c>
      <c r="C159" s="5" t="s">
        <v>777</v>
      </c>
      <c r="D159" s="5" t="s">
        <v>778</v>
      </c>
      <c r="E159" s="5" t="s">
        <v>171</v>
      </c>
      <c r="F159" s="5" t="n">
        <v>83</v>
      </c>
      <c r="G159" s="5" t="s">
        <v>64</v>
      </c>
      <c r="H159" s="5" t="n">
        <v>10</v>
      </c>
      <c r="I159" s="5" t="n">
        <v>35</v>
      </c>
      <c r="J159" s="5"/>
      <c r="K159" s="5" t="n">
        <v>8</v>
      </c>
      <c r="L159" s="5" t="s">
        <v>42</v>
      </c>
      <c r="M159" s="5"/>
      <c r="N159" s="5" t="s">
        <v>43</v>
      </c>
      <c r="O159" s="5"/>
      <c r="P159" s="5"/>
      <c r="Q159" s="6" t="n">
        <v>0</v>
      </c>
      <c r="R159" s="5"/>
      <c r="S159" s="5"/>
      <c r="T159" s="5" t="s">
        <v>42</v>
      </c>
      <c r="U159" s="5" t="s">
        <v>779</v>
      </c>
      <c r="V159" s="5" t="n">
        <v>-3.814289</v>
      </c>
      <c r="W159" s="5" t="n">
        <v>-38.578645</v>
      </c>
    </row>
    <row r="160" customFormat="false" ht="23.25" hidden="false" customHeight="true" outlineLevel="0" collapsed="false">
      <c r="A160" s="5" t="s">
        <v>780</v>
      </c>
      <c r="B160" s="5" t="s">
        <v>36</v>
      </c>
      <c r="C160" s="5" t="s">
        <v>781</v>
      </c>
      <c r="D160" s="5" t="s">
        <v>782</v>
      </c>
      <c r="E160" s="5" t="s">
        <v>783</v>
      </c>
      <c r="F160" s="5" t="n">
        <v>106</v>
      </c>
      <c r="G160" s="5" t="s">
        <v>96</v>
      </c>
      <c r="H160" s="5" t="n">
        <v>11</v>
      </c>
      <c r="I160" s="5" t="n">
        <v>36</v>
      </c>
      <c r="J160" s="5"/>
      <c r="K160" s="5" t="n">
        <v>8</v>
      </c>
      <c r="L160" s="5" t="s">
        <v>42</v>
      </c>
      <c r="M160" s="5"/>
      <c r="N160" s="5" t="s">
        <v>43</v>
      </c>
      <c r="O160" s="5"/>
      <c r="P160" s="5"/>
      <c r="Q160" s="6" t="n">
        <v>0</v>
      </c>
      <c r="R160" s="5"/>
      <c r="S160" s="5"/>
      <c r="T160" s="5" t="s">
        <v>42</v>
      </c>
      <c r="U160" s="5" t="s">
        <v>784</v>
      </c>
      <c r="V160" s="5" t="n">
        <v>-3.752343</v>
      </c>
      <c r="W160" s="5" t="n">
        <v>-38.582608</v>
      </c>
    </row>
    <row r="161" customFormat="false" ht="23.25" hidden="false" customHeight="true" outlineLevel="0" collapsed="false">
      <c r="A161" s="5" t="s">
        <v>785</v>
      </c>
      <c r="B161" s="5" t="s">
        <v>300</v>
      </c>
      <c r="C161" s="5" t="s">
        <v>786</v>
      </c>
      <c r="D161" s="5" t="s">
        <v>787</v>
      </c>
      <c r="E161" s="5" t="s">
        <v>788</v>
      </c>
      <c r="F161" s="5" t="n">
        <v>51</v>
      </c>
      <c r="G161" s="5" t="s">
        <v>330</v>
      </c>
      <c r="H161" s="5" t="n">
        <v>9</v>
      </c>
      <c r="I161" s="5" t="n">
        <v>31</v>
      </c>
      <c r="J161" s="5"/>
      <c r="K161" s="5" t="n">
        <v>8</v>
      </c>
      <c r="L161" s="5" t="s">
        <v>42</v>
      </c>
      <c r="M161" s="5"/>
      <c r="N161" s="5" t="s">
        <v>43</v>
      </c>
      <c r="O161" s="5"/>
      <c r="P161" s="5"/>
      <c r="Q161" s="6" t="n">
        <v>0</v>
      </c>
      <c r="R161" s="5"/>
      <c r="S161" s="5"/>
      <c r="T161" s="5" t="s">
        <v>42</v>
      </c>
      <c r="U161" s="5" t="s">
        <v>789</v>
      </c>
      <c r="V161" s="5" t="n">
        <v>-3.826412</v>
      </c>
      <c r="W161" s="5" t="n">
        <v>-38.516572</v>
      </c>
    </row>
    <row r="162" customFormat="false" ht="23.25" hidden="false" customHeight="true" outlineLevel="0" collapsed="false">
      <c r="A162" s="5" t="s">
        <v>790</v>
      </c>
      <c r="B162" s="5" t="s">
        <v>36</v>
      </c>
      <c r="C162" s="5" t="s">
        <v>791</v>
      </c>
      <c r="D162" s="5" t="s">
        <v>792</v>
      </c>
      <c r="E162" s="5" t="s">
        <v>793</v>
      </c>
      <c r="F162" s="5" t="n">
        <v>110</v>
      </c>
      <c r="G162" s="5" t="s">
        <v>56</v>
      </c>
      <c r="H162" s="5" t="n">
        <v>2</v>
      </c>
      <c r="I162" s="5" t="n">
        <v>9</v>
      </c>
      <c r="J162" s="5"/>
      <c r="K162" s="5" t="n">
        <v>8</v>
      </c>
      <c r="L162" s="5" t="s">
        <v>42</v>
      </c>
      <c r="M162" s="5"/>
      <c r="N162" s="5" t="s">
        <v>43</v>
      </c>
      <c r="O162" s="5"/>
      <c r="P162" s="5"/>
      <c r="Q162" s="6" t="n">
        <v>0</v>
      </c>
      <c r="R162" s="5"/>
      <c r="S162" s="5"/>
      <c r="T162" s="5" t="s">
        <v>42</v>
      </c>
      <c r="U162" s="5" t="s">
        <v>794</v>
      </c>
      <c r="V162" s="5" t="n">
        <v>-3.717616</v>
      </c>
      <c r="W162" s="5" t="n">
        <v>-38.465256</v>
      </c>
    </row>
    <row r="163" customFormat="false" ht="34.5" hidden="false" customHeight="true" outlineLevel="0" collapsed="false">
      <c r="A163" s="5" t="s">
        <v>795</v>
      </c>
      <c r="B163" s="5" t="s">
        <v>52</v>
      </c>
      <c r="C163" s="5" t="s">
        <v>796</v>
      </c>
      <c r="D163" s="5" t="s">
        <v>797</v>
      </c>
      <c r="E163" s="5" t="s">
        <v>484</v>
      </c>
      <c r="F163" s="5" t="n">
        <v>85</v>
      </c>
      <c r="G163" s="5" t="s">
        <v>64</v>
      </c>
      <c r="H163" s="5" t="n">
        <v>10</v>
      </c>
      <c r="I163" s="5" t="n">
        <v>34</v>
      </c>
      <c r="J163" s="5"/>
      <c r="K163" s="5" t="n">
        <v>8</v>
      </c>
      <c r="L163" s="5" t="s">
        <v>42</v>
      </c>
      <c r="M163" s="5"/>
      <c r="N163" s="5" t="s">
        <v>43</v>
      </c>
      <c r="O163" s="5"/>
      <c r="P163" s="5"/>
      <c r="Q163" s="6" t="n">
        <v>0</v>
      </c>
      <c r="R163" s="5"/>
      <c r="S163" s="5"/>
      <c r="T163" s="5" t="s">
        <v>42</v>
      </c>
      <c r="U163" s="5" t="s">
        <v>798</v>
      </c>
      <c r="V163" s="5" t="n">
        <v>-3.830863</v>
      </c>
      <c r="W163" s="5" t="n">
        <v>-38.597926</v>
      </c>
    </row>
    <row r="164" customFormat="false" ht="23.25" hidden="false" customHeight="true" outlineLevel="0" collapsed="false">
      <c r="A164" s="5" t="s">
        <v>799</v>
      </c>
      <c r="B164" s="5" t="s">
        <v>52</v>
      </c>
      <c r="C164" s="5" t="s">
        <v>800</v>
      </c>
      <c r="D164" s="5" t="s">
        <v>801</v>
      </c>
      <c r="E164" s="5" t="s">
        <v>802</v>
      </c>
      <c r="F164" s="5" t="n">
        <v>34</v>
      </c>
      <c r="G164" s="5" t="s">
        <v>96</v>
      </c>
      <c r="H164" s="5" t="n">
        <v>3</v>
      </c>
      <c r="I164" s="5" t="n">
        <v>14</v>
      </c>
      <c r="J164" s="5" t="s">
        <v>41</v>
      </c>
      <c r="K164" s="5" t="n">
        <v>10</v>
      </c>
      <c r="L164" s="5" t="s">
        <v>44</v>
      </c>
      <c r="M164" s="5" t="s">
        <v>746</v>
      </c>
      <c r="N164" s="5" t="s">
        <v>697</v>
      </c>
      <c r="O164" s="6" t="n">
        <v>59746.93</v>
      </c>
      <c r="P164" s="5" t="s">
        <v>311</v>
      </c>
      <c r="Q164" s="6" t="n">
        <v>59746.93</v>
      </c>
      <c r="R164" s="5" t="s">
        <v>803</v>
      </c>
      <c r="S164" s="5"/>
      <c r="T164" s="5" t="s">
        <v>44</v>
      </c>
      <c r="U164" s="5" t="s">
        <v>804</v>
      </c>
      <c r="V164" s="5" t="n">
        <v>-3.74843</v>
      </c>
      <c r="W164" s="5" t="n">
        <v>-38.557375</v>
      </c>
    </row>
    <row r="165" customFormat="false" ht="23.25" hidden="false" customHeight="true" outlineLevel="0" collapsed="false">
      <c r="A165" s="5" t="s">
        <v>805</v>
      </c>
      <c r="B165" s="5" t="s">
        <v>52</v>
      </c>
      <c r="C165" s="5" t="s">
        <v>806</v>
      </c>
      <c r="D165" s="5" t="s">
        <v>807</v>
      </c>
      <c r="E165" s="5" t="s">
        <v>808</v>
      </c>
      <c r="F165" s="5" t="n">
        <v>24</v>
      </c>
      <c r="G165" s="5" t="s">
        <v>56</v>
      </c>
      <c r="H165" s="5" t="n">
        <v>2</v>
      </c>
      <c r="I165" s="5" t="n">
        <v>7</v>
      </c>
      <c r="J165" s="5" t="s">
        <v>41</v>
      </c>
      <c r="K165" s="5" t="n">
        <v>5</v>
      </c>
      <c r="L165" s="5" t="s">
        <v>42</v>
      </c>
      <c r="M165" s="5"/>
      <c r="N165" s="5" t="s">
        <v>697</v>
      </c>
      <c r="O165" s="5"/>
      <c r="P165" s="5"/>
      <c r="Q165" s="5"/>
      <c r="R165" s="5"/>
      <c r="S165" s="5"/>
      <c r="T165" s="5" t="s">
        <v>44</v>
      </c>
      <c r="U165" s="5" t="s">
        <v>809</v>
      </c>
      <c r="V165" s="5" t="n">
        <v>-3.731618</v>
      </c>
      <c r="W165" s="5" t="n">
        <v>-38.502008</v>
      </c>
    </row>
    <row r="166" customFormat="false" ht="23.25" hidden="false" customHeight="true" outlineLevel="0" collapsed="false">
      <c r="A166" s="5" t="s">
        <v>810</v>
      </c>
      <c r="B166" s="5" t="s">
        <v>36</v>
      </c>
      <c r="C166" s="5" t="s">
        <v>811</v>
      </c>
      <c r="D166" s="5" t="s">
        <v>812</v>
      </c>
      <c r="E166" s="5" t="s">
        <v>793</v>
      </c>
      <c r="F166" s="5" t="n">
        <v>110</v>
      </c>
      <c r="G166" s="5" t="s">
        <v>56</v>
      </c>
      <c r="H166" s="5" t="n">
        <v>2</v>
      </c>
      <c r="I166" s="5" t="n">
        <v>9</v>
      </c>
      <c r="J166" s="5" t="s">
        <v>568</v>
      </c>
      <c r="K166" s="5" t="n">
        <v>7</v>
      </c>
      <c r="L166" s="5" t="s">
        <v>44</v>
      </c>
      <c r="M166" s="5" t="s">
        <v>385</v>
      </c>
      <c r="N166" s="5" t="s">
        <v>569</v>
      </c>
      <c r="O166" s="5"/>
      <c r="P166" s="5"/>
      <c r="Q166" s="5"/>
      <c r="R166" s="5"/>
      <c r="S166" s="5"/>
      <c r="T166" s="5" t="s">
        <v>42</v>
      </c>
      <c r="U166" s="5" t="s">
        <v>813</v>
      </c>
      <c r="V166" s="5" t="n">
        <v>-3.722202</v>
      </c>
      <c r="W166" s="5" t="n">
        <v>-38.471393</v>
      </c>
    </row>
    <row r="167" customFormat="false" ht="23.25" hidden="false" customHeight="true" outlineLevel="0" collapsed="false">
      <c r="A167" s="5" t="s">
        <v>814</v>
      </c>
      <c r="B167" s="5" t="s">
        <v>52</v>
      </c>
      <c r="C167" s="5" t="s">
        <v>815</v>
      </c>
      <c r="D167" s="5" t="s">
        <v>816</v>
      </c>
      <c r="E167" s="5" t="s">
        <v>654</v>
      </c>
      <c r="F167" s="5" t="n">
        <v>44</v>
      </c>
      <c r="G167" s="5" t="s">
        <v>96</v>
      </c>
      <c r="H167" s="5" t="n">
        <v>11</v>
      </c>
      <c r="I167" s="5" t="n">
        <v>38</v>
      </c>
      <c r="J167" s="5" t="s">
        <v>41</v>
      </c>
      <c r="K167" s="5" t="n">
        <v>18</v>
      </c>
      <c r="L167" s="5" t="s">
        <v>42</v>
      </c>
      <c r="M167" s="5"/>
      <c r="N167" s="5" t="s">
        <v>697</v>
      </c>
      <c r="O167" s="6" t="n">
        <v>89726.42</v>
      </c>
      <c r="P167" s="5" t="s">
        <v>311</v>
      </c>
      <c r="Q167" s="6" t="n">
        <v>89726.42</v>
      </c>
      <c r="R167" s="5" t="s">
        <v>817</v>
      </c>
      <c r="S167" s="5"/>
      <c r="T167" s="5" t="s">
        <v>44</v>
      </c>
      <c r="U167" s="5" t="s">
        <v>818</v>
      </c>
      <c r="V167" s="5" t="n">
        <v>-3.753588</v>
      </c>
      <c r="W167" s="5" t="n">
        <v>-38.601247</v>
      </c>
    </row>
    <row r="168" customFormat="false" ht="23.25" hidden="false" customHeight="true" outlineLevel="0" collapsed="false">
      <c r="A168" s="5" t="s">
        <v>819</v>
      </c>
      <c r="B168" s="5" t="s">
        <v>36</v>
      </c>
      <c r="C168" s="5" t="s">
        <v>820</v>
      </c>
      <c r="D168" s="5" t="s">
        <v>821</v>
      </c>
      <c r="E168" s="5" t="s">
        <v>522</v>
      </c>
      <c r="F168" s="5" t="n">
        <v>90</v>
      </c>
      <c r="G168" s="5" t="s">
        <v>64</v>
      </c>
      <c r="H168" s="5" t="n">
        <v>5</v>
      </c>
      <c r="I168" s="5" t="n">
        <v>39</v>
      </c>
      <c r="J168" s="5" t="s">
        <v>41</v>
      </c>
      <c r="K168" s="5" t="n">
        <v>5</v>
      </c>
      <c r="L168" s="5" t="s">
        <v>42</v>
      </c>
      <c r="M168" s="5"/>
      <c r="N168" s="5" t="s">
        <v>822</v>
      </c>
      <c r="O168" s="6" t="n">
        <v>28964.57</v>
      </c>
      <c r="P168" s="5" t="s">
        <v>311</v>
      </c>
      <c r="Q168" s="6" t="n">
        <v>28964.57</v>
      </c>
      <c r="R168" s="5" t="s">
        <v>823</v>
      </c>
      <c r="S168" s="5"/>
      <c r="T168" s="5" t="s">
        <v>44</v>
      </c>
      <c r="U168" s="5" t="s">
        <v>824</v>
      </c>
      <c r="V168" s="5" t="n">
        <v>-3.805869</v>
      </c>
      <c r="W168" s="5" t="n">
        <v>-38.622742</v>
      </c>
    </row>
    <row r="169" customFormat="false" ht="23.25" hidden="false" customHeight="true" outlineLevel="0" collapsed="false">
      <c r="A169" s="5" t="s">
        <v>825</v>
      </c>
      <c r="B169" s="5" t="s">
        <v>36</v>
      </c>
      <c r="C169" s="5" t="s">
        <v>826</v>
      </c>
      <c r="D169" s="5" t="s">
        <v>827</v>
      </c>
      <c r="E169" s="5" t="s">
        <v>562</v>
      </c>
      <c r="F169" s="5" t="n">
        <v>19</v>
      </c>
      <c r="G169" s="5" t="s">
        <v>71</v>
      </c>
      <c r="H169" s="5" t="n">
        <v>4</v>
      </c>
      <c r="I169" s="5" t="n">
        <v>16</v>
      </c>
      <c r="J169" s="5" t="s">
        <v>41</v>
      </c>
      <c r="K169" s="5" t="n">
        <v>5</v>
      </c>
      <c r="L169" s="5" t="s">
        <v>42</v>
      </c>
      <c r="M169" s="5"/>
      <c r="N169" s="5" t="s">
        <v>822</v>
      </c>
      <c r="O169" s="6" t="n">
        <v>29502.84</v>
      </c>
      <c r="P169" s="5" t="s">
        <v>311</v>
      </c>
      <c r="Q169" s="6" t="n">
        <v>29502.84</v>
      </c>
      <c r="R169" s="5" t="s">
        <v>828</v>
      </c>
      <c r="S169" s="5"/>
      <c r="T169" s="5" t="s">
        <v>44</v>
      </c>
      <c r="U169" s="5" t="s">
        <v>829</v>
      </c>
      <c r="V169" s="5" t="n">
        <v>-3.752581</v>
      </c>
      <c r="W169" s="5" t="n">
        <v>-38.53864</v>
      </c>
    </row>
    <row r="170" customFormat="false" ht="23.25" hidden="false" customHeight="true" outlineLevel="0" collapsed="false">
      <c r="A170" s="5" t="s">
        <v>830</v>
      </c>
      <c r="B170" s="5" t="s">
        <v>36</v>
      </c>
      <c r="C170" s="5" t="s">
        <v>831</v>
      </c>
      <c r="D170" s="5" t="s">
        <v>832</v>
      </c>
      <c r="E170" s="5" t="s">
        <v>356</v>
      </c>
      <c r="F170" s="5" t="n">
        <v>117</v>
      </c>
      <c r="G170" s="5" t="s">
        <v>330</v>
      </c>
      <c r="H170" s="5" t="n">
        <v>9</v>
      </c>
      <c r="I170" s="5" t="n">
        <v>32</v>
      </c>
      <c r="J170" s="5" t="s">
        <v>41</v>
      </c>
      <c r="K170" s="5" t="n">
        <v>5</v>
      </c>
      <c r="L170" s="5" t="s">
        <v>42</v>
      </c>
      <c r="M170" s="5"/>
      <c r="N170" s="5" t="s">
        <v>822</v>
      </c>
      <c r="O170" s="6" t="n">
        <v>28810.97</v>
      </c>
      <c r="P170" s="5" t="s">
        <v>311</v>
      </c>
      <c r="Q170" s="6" t="n">
        <v>28810.97</v>
      </c>
      <c r="R170" s="5" t="s">
        <v>833</v>
      </c>
      <c r="S170" s="5"/>
      <c r="T170" s="5" t="s">
        <v>44</v>
      </c>
      <c r="U170" s="5" t="s">
        <v>834</v>
      </c>
      <c r="V170" s="5" t="n">
        <v>-3.838986</v>
      </c>
      <c r="W170" s="5" t="n">
        <v>-38.527345</v>
      </c>
    </row>
    <row r="171" customFormat="false" ht="15" hidden="false" customHeight="true" outlineLevel="0" collapsed="false">
      <c r="A171" s="5" t="s">
        <v>835</v>
      </c>
      <c r="B171" s="5" t="s">
        <v>52</v>
      </c>
      <c r="C171" s="5" t="s">
        <v>836</v>
      </c>
      <c r="D171" s="5" t="s">
        <v>837</v>
      </c>
      <c r="E171" s="5" t="s">
        <v>783</v>
      </c>
      <c r="F171" s="5" t="n">
        <v>106</v>
      </c>
      <c r="G171" s="5" t="s">
        <v>96</v>
      </c>
      <c r="H171" s="5" t="n">
        <v>11</v>
      </c>
      <c r="I171" s="5" t="n">
        <v>36</v>
      </c>
      <c r="J171" s="5"/>
      <c r="K171" s="5" t="n">
        <v>9</v>
      </c>
      <c r="L171" s="5" t="s">
        <v>42</v>
      </c>
      <c r="M171" s="5"/>
      <c r="N171" s="5" t="s">
        <v>43</v>
      </c>
      <c r="O171" s="5"/>
      <c r="P171" s="5"/>
      <c r="Q171" s="6" t="n">
        <v>0</v>
      </c>
      <c r="R171" s="5"/>
      <c r="S171" s="5"/>
      <c r="T171" s="5" t="s">
        <v>42</v>
      </c>
      <c r="U171" s="5" t="s">
        <v>838</v>
      </c>
      <c r="V171" s="5" t="n">
        <v>-3.749716</v>
      </c>
      <c r="W171" s="5" t="n">
        <v>-38.566626</v>
      </c>
    </row>
    <row r="172" customFormat="false" ht="23.25" hidden="false" customHeight="true" outlineLevel="0" collapsed="false">
      <c r="A172" s="5" t="s">
        <v>839</v>
      </c>
      <c r="B172" s="5" t="s">
        <v>52</v>
      </c>
      <c r="C172" s="5" t="s">
        <v>840</v>
      </c>
      <c r="D172" s="5" t="s">
        <v>841</v>
      </c>
      <c r="E172" s="5" t="s">
        <v>121</v>
      </c>
      <c r="F172" s="5" t="n">
        <v>12</v>
      </c>
      <c r="G172" s="5" t="s">
        <v>40</v>
      </c>
      <c r="H172" s="5" t="n">
        <v>1</v>
      </c>
      <c r="I172" s="5" t="n">
        <v>4</v>
      </c>
      <c r="J172" s="5"/>
      <c r="K172" s="5" t="n">
        <v>9</v>
      </c>
      <c r="L172" s="5" t="s">
        <v>42</v>
      </c>
      <c r="M172" s="5"/>
      <c r="N172" s="5" t="s">
        <v>43</v>
      </c>
      <c r="O172" s="5"/>
      <c r="P172" s="5"/>
      <c r="Q172" s="6" t="n">
        <v>0</v>
      </c>
      <c r="R172" s="5"/>
      <c r="S172" s="5"/>
      <c r="T172" s="5" t="s">
        <v>42</v>
      </c>
      <c r="U172" s="5" t="s">
        <v>842</v>
      </c>
      <c r="V172" s="5" t="n">
        <v>-3.707966</v>
      </c>
      <c r="W172" s="5" t="n">
        <v>-38.563185</v>
      </c>
    </row>
    <row r="173" customFormat="false" ht="23.25" hidden="false" customHeight="true" outlineLevel="0" collapsed="false">
      <c r="A173" s="5" t="s">
        <v>843</v>
      </c>
      <c r="B173" s="5" t="s">
        <v>36</v>
      </c>
      <c r="C173" s="5" t="s">
        <v>844</v>
      </c>
      <c r="D173" s="5" t="s">
        <v>845</v>
      </c>
      <c r="E173" s="5" t="s">
        <v>369</v>
      </c>
      <c r="F173" s="5" t="n">
        <v>74</v>
      </c>
      <c r="G173" s="5" t="s">
        <v>64</v>
      </c>
      <c r="H173" s="5" t="n">
        <v>10</v>
      </c>
      <c r="I173" s="5" t="n">
        <v>34</v>
      </c>
      <c r="J173" s="5" t="s">
        <v>619</v>
      </c>
      <c r="K173" s="5" t="n">
        <v>7</v>
      </c>
      <c r="L173" s="5" t="s">
        <v>44</v>
      </c>
      <c r="M173" s="5" t="s">
        <v>97</v>
      </c>
      <c r="N173" s="5" t="s">
        <v>569</v>
      </c>
      <c r="O173" s="5"/>
      <c r="P173" s="5"/>
      <c r="Q173" s="5"/>
      <c r="R173" s="5"/>
      <c r="S173" s="5"/>
      <c r="T173" s="5" t="s">
        <v>44</v>
      </c>
      <c r="U173" s="5" t="s">
        <v>846</v>
      </c>
      <c r="V173" s="5" t="n">
        <v>-3.807196</v>
      </c>
      <c r="W173" s="5" t="n">
        <v>-38.601131</v>
      </c>
    </row>
    <row r="174" customFormat="false" ht="23.25" hidden="false" customHeight="true" outlineLevel="0" collapsed="false">
      <c r="A174" s="5" t="s">
        <v>847</v>
      </c>
      <c r="B174" s="5" t="s">
        <v>52</v>
      </c>
      <c r="C174" s="5" t="s">
        <v>848</v>
      </c>
      <c r="D174" s="5" t="s">
        <v>849</v>
      </c>
      <c r="E174" s="5" t="s">
        <v>562</v>
      </c>
      <c r="F174" s="5" t="n">
        <v>19</v>
      </c>
      <c r="G174" s="5" t="s">
        <v>71</v>
      </c>
      <c r="H174" s="5" t="n">
        <v>4</v>
      </c>
      <c r="I174" s="5" t="n">
        <v>16</v>
      </c>
      <c r="J174" s="5"/>
      <c r="K174" s="5" t="n">
        <v>9</v>
      </c>
      <c r="L174" s="5" t="s">
        <v>42</v>
      </c>
      <c r="M174" s="5"/>
      <c r="N174" s="5" t="s">
        <v>43</v>
      </c>
      <c r="O174" s="5"/>
      <c r="P174" s="5"/>
      <c r="Q174" s="6" t="n">
        <v>0</v>
      </c>
      <c r="R174" s="5"/>
      <c r="S174" s="5"/>
      <c r="T174" s="5" t="s">
        <v>42</v>
      </c>
      <c r="U174" s="5" t="s">
        <v>850</v>
      </c>
      <c r="V174" s="5" t="n">
        <v>-3.754669</v>
      </c>
      <c r="W174" s="5" t="n">
        <v>-38.545179</v>
      </c>
    </row>
    <row r="175" customFormat="false" ht="23.25" hidden="false" customHeight="true" outlineLevel="0" collapsed="false">
      <c r="A175" s="5" t="s">
        <v>851</v>
      </c>
      <c r="B175" s="5" t="s">
        <v>36</v>
      </c>
      <c r="C175" s="5" t="s">
        <v>852</v>
      </c>
      <c r="D175" s="5" t="s">
        <v>853</v>
      </c>
      <c r="E175" s="5" t="s">
        <v>190</v>
      </c>
      <c r="F175" s="5" t="n">
        <v>57</v>
      </c>
      <c r="G175" s="5" t="s">
        <v>56</v>
      </c>
      <c r="H175" s="5" t="n">
        <v>7</v>
      </c>
      <c r="I175" s="5" t="n">
        <v>25</v>
      </c>
      <c r="J175" s="5" t="s">
        <v>41</v>
      </c>
      <c r="K175" s="5" t="n">
        <v>5</v>
      </c>
      <c r="L175" s="5" t="s">
        <v>42</v>
      </c>
      <c r="M175" s="5"/>
      <c r="N175" s="5" t="s">
        <v>822</v>
      </c>
      <c r="O175" s="6" t="n">
        <v>28964.57</v>
      </c>
      <c r="P175" s="5" t="s">
        <v>311</v>
      </c>
      <c r="Q175" s="6" t="n">
        <v>28964.57</v>
      </c>
      <c r="R175" s="5" t="s">
        <v>854</v>
      </c>
      <c r="S175" s="5"/>
      <c r="T175" s="5" t="s">
        <v>44</v>
      </c>
      <c r="U175" s="5" t="s">
        <v>855</v>
      </c>
      <c r="V175" s="5" t="n">
        <v>-3.77301</v>
      </c>
      <c r="W175" s="5" t="n">
        <v>-38.455401</v>
      </c>
    </row>
    <row r="176" customFormat="false" ht="34.5" hidden="false" customHeight="true" outlineLevel="0" collapsed="false">
      <c r="A176" s="5" t="s">
        <v>856</v>
      </c>
      <c r="B176" s="5" t="s">
        <v>52</v>
      </c>
      <c r="C176" s="5" t="s">
        <v>857</v>
      </c>
      <c r="D176" s="5" t="s">
        <v>858</v>
      </c>
      <c r="E176" s="5" t="s">
        <v>859</v>
      </c>
      <c r="F176" s="5" t="n">
        <v>58</v>
      </c>
      <c r="G176" s="5" t="s">
        <v>56</v>
      </c>
      <c r="H176" s="5" t="n">
        <v>7</v>
      </c>
      <c r="I176" s="5" t="n">
        <v>24</v>
      </c>
      <c r="J176" s="5" t="s">
        <v>568</v>
      </c>
      <c r="K176" s="5" t="n">
        <v>7</v>
      </c>
      <c r="L176" s="5" t="s">
        <v>42</v>
      </c>
      <c r="M176" s="5"/>
      <c r="N176" s="5" t="s">
        <v>569</v>
      </c>
      <c r="O176" s="5"/>
      <c r="P176" s="5"/>
      <c r="Q176" s="5"/>
      <c r="R176" s="5"/>
      <c r="S176" s="5"/>
      <c r="T176" s="5" t="s">
        <v>42</v>
      </c>
      <c r="U176" s="5" t="s">
        <v>860</v>
      </c>
      <c r="V176" s="5" t="n">
        <v>-3.77338</v>
      </c>
      <c r="W176" s="5" t="n">
        <v>-38.491574</v>
      </c>
    </row>
    <row r="177" customFormat="false" ht="23.25" hidden="false" customHeight="true" outlineLevel="0" collapsed="false">
      <c r="A177" s="5" t="s">
        <v>861</v>
      </c>
      <c r="B177" s="5" t="s">
        <v>52</v>
      </c>
      <c r="C177" s="5" t="s">
        <v>862</v>
      </c>
      <c r="D177" s="5" t="s">
        <v>863</v>
      </c>
      <c r="E177" s="5" t="s">
        <v>793</v>
      </c>
      <c r="F177" s="5" t="n">
        <v>110</v>
      </c>
      <c r="G177" s="5" t="s">
        <v>56</v>
      </c>
      <c r="H177" s="5" t="n">
        <v>2</v>
      </c>
      <c r="I177" s="5" t="n">
        <v>9</v>
      </c>
      <c r="J177" s="5"/>
      <c r="K177" s="5" t="n">
        <v>9</v>
      </c>
      <c r="L177" s="5" t="s">
        <v>42</v>
      </c>
      <c r="M177" s="5"/>
      <c r="N177" s="5" t="s">
        <v>43</v>
      </c>
      <c r="O177" s="5"/>
      <c r="P177" s="5"/>
      <c r="Q177" s="6" t="n">
        <v>0</v>
      </c>
      <c r="R177" s="5"/>
      <c r="S177" s="5"/>
      <c r="T177" s="5" t="s">
        <v>42</v>
      </c>
      <c r="U177" s="5" t="s">
        <v>864</v>
      </c>
      <c r="V177" s="5" t="n">
        <v>-3.72233</v>
      </c>
      <c r="W177" s="5" t="n">
        <v>-38.475724</v>
      </c>
    </row>
    <row r="178" customFormat="false" ht="23.25" hidden="false" customHeight="true" outlineLevel="0" collapsed="false">
      <c r="A178" s="5" t="s">
        <v>865</v>
      </c>
      <c r="B178" s="5" t="s">
        <v>52</v>
      </c>
      <c r="C178" s="5" t="s">
        <v>866</v>
      </c>
      <c r="D178" s="5" t="s">
        <v>867</v>
      </c>
      <c r="E178" s="5" t="s">
        <v>185</v>
      </c>
      <c r="F178" s="5" t="n">
        <v>25</v>
      </c>
      <c r="G178" s="5" t="s">
        <v>96</v>
      </c>
      <c r="H178" s="5" t="n">
        <v>3</v>
      </c>
      <c r="I178" s="5" t="n">
        <v>13</v>
      </c>
      <c r="J178" s="5"/>
      <c r="K178" s="5" t="n">
        <v>9</v>
      </c>
      <c r="L178" s="5" t="s">
        <v>42</v>
      </c>
      <c r="M178" s="5"/>
      <c r="N178" s="5" t="s">
        <v>43</v>
      </c>
      <c r="O178" s="5"/>
      <c r="P178" s="5"/>
      <c r="Q178" s="6" t="n">
        <v>0</v>
      </c>
      <c r="R178" s="5"/>
      <c r="S178" s="5"/>
      <c r="T178" s="5" t="s">
        <v>42</v>
      </c>
      <c r="U178" s="5" t="s">
        <v>868</v>
      </c>
      <c r="V178" s="5" t="n">
        <v>-3.724134</v>
      </c>
      <c r="W178" s="5" t="n">
        <v>-38.554139</v>
      </c>
    </row>
    <row r="179" customFormat="false" ht="23.25" hidden="false" customHeight="true" outlineLevel="0" collapsed="false">
      <c r="A179" s="5" t="s">
        <v>869</v>
      </c>
      <c r="B179" s="5" t="s">
        <v>52</v>
      </c>
      <c r="C179" s="5" t="s">
        <v>870</v>
      </c>
      <c r="D179" s="5" t="s">
        <v>871</v>
      </c>
      <c r="E179" s="5" t="s">
        <v>282</v>
      </c>
      <c r="F179" s="5" t="n">
        <v>37</v>
      </c>
      <c r="G179" s="5" t="s">
        <v>56</v>
      </c>
      <c r="H179" s="5" t="n">
        <v>2</v>
      </c>
      <c r="I179" s="5" t="n">
        <v>9</v>
      </c>
      <c r="J179" s="5" t="s">
        <v>568</v>
      </c>
      <c r="K179" s="5" t="n">
        <v>10</v>
      </c>
      <c r="L179" s="5" t="s">
        <v>42</v>
      </c>
      <c r="M179" s="5"/>
      <c r="N179" s="5" t="s">
        <v>569</v>
      </c>
      <c r="O179" s="5"/>
      <c r="P179" s="5"/>
      <c r="Q179" s="5"/>
      <c r="R179" s="5"/>
      <c r="S179" s="5"/>
      <c r="T179" s="5" t="s">
        <v>42</v>
      </c>
      <c r="U179" s="5" t="s">
        <v>872</v>
      </c>
      <c r="V179" s="5" t="n">
        <v>-3.723879</v>
      </c>
      <c r="W179" s="5" t="n">
        <v>-38.477082</v>
      </c>
    </row>
    <row r="180" customFormat="false" ht="23.25" hidden="false" customHeight="true" outlineLevel="0" collapsed="false">
      <c r="A180" s="5" t="s">
        <v>873</v>
      </c>
      <c r="B180" s="5" t="s">
        <v>52</v>
      </c>
      <c r="C180" s="5" t="s">
        <v>874</v>
      </c>
      <c r="D180" s="5" t="s">
        <v>875</v>
      </c>
      <c r="E180" s="5" t="s">
        <v>390</v>
      </c>
      <c r="F180" s="5" t="n">
        <v>73</v>
      </c>
      <c r="G180" s="5" t="s">
        <v>64</v>
      </c>
      <c r="H180" s="5" t="n">
        <v>5</v>
      </c>
      <c r="I180" s="5" t="n">
        <v>39</v>
      </c>
      <c r="J180" s="5"/>
      <c r="K180" s="5" t="n">
        <v>9</v>
      </c>
      <c r="L180" s="5" t="s">
        <v>42</v>
      </c>
      <c r="M180" s="5"/>
      <c r="N180" s="5" t="s">
        <v>43</v>
      </c>
      <c r="O180" s="5"/>
      <c r="P180" s="5"/>
      <c r="Q180" s="6" t="n">
        <v>0</v>
      </c>
      <c r="R180" s="5"/>
      <c r="S180" s="5"/>
      <c r="T180" s="5" t="s">
        <v>42</v>
      </c>
      <c r="U180" s="5" t="s">
        <v>876</v>
      </c>
      <c r="V180" s="5" t="n">
        <v>-3.784141</v>
      </c>
      <c r="W180" s="5" t="n">
        <v>-38.587824</v>
      </c>
    </row>
    <row r="181" customFormat="false" ht="34.5" hidden="false" customHeight="true" outlineLevel="0" collapsed="false">
      <c r="A181" s="5" t="s">
        <v>877</v>
      </c>
      <c r="B181" s="5" t="s">
        <v>52</v>
      </c>
      <c r="C181" s="5" t="s">
        <v>878</v>
      </c>
      <c r="D181" s="5" t="s">
        <v>879</v>
      </c>
      <c r="E181" s="5" t="s">
        <v>859</v>
      </c>
      <c r="F181" s="5" t="n">
        <v>58</v>
      </c>
      <c r="G181" s="5" t="s">
        <v>56</v>
      </c>
      <c r="H181" s="5" t="n">
        <v>7</v>
      </c>
      <c r="I181" s="5" t="n">
        <v>24</v>
      </c>
      <c r="J181" s="5" t="s">
        <v>568</v>
      </c>
      <c r="K181" s="5" t="n">
        <v>11</v>
      </c>
      <c r="L181" s="5" t="s">
        <v>42</v>
      </c>
      <c r="M181" s="5"/>
      <c r="N181" s="5" t="s">
        <v>569</v>
      </c>
      <c r="O181" s="5"/>
      <c r="P181" s="5"/>
      <c r="Q181" s="5"/>
      <c r="R181" s="5"/>
      <c r="S181" s="5"/>
      <c r="T181" s="5" t="s">
        <v>42</v>
      </c>
      <c r="U181" s="5" t="s">
        <v>880</v>
      </c>
      <c r="V181" s="5" t="n">
        <v>-3.767666</v>
      </c>
      <c r="W181" s="5" t="n">
        <v>-38.493892</v>
      </c>
    </row>
    <row r="182" customFormat="false" ht="23.25" hidden="false" customHeight="true" outlineLevel="0" collapsed="false">
      <c r="A182" s="5" t="s">
        <v>881</v>
      </c>
      <c r="B182" s="5" t="s">
        <v>52</v>
      </c>
      <c r="C182" s="5" t="s">
        <v>882</v>
      </c>
      <c r="D182" s="5" t="s">
        <v>883</v>
      </c>
      <c r="E182" s="5" t="s">
        <v>457</v>
      </c>
      <c r="F182" s="5" t="n">
        <v>32</v>
      </c>
      <c r="G182" s="5" t="s">
        <v>40</v>
      </c>
      <c r="H182" s="5" t="n">
        <v>12</v>
      </c>
      <c r="I182" s="5" t="n">
        <v>1</v>
      </c>
      <c r="J182" s="5"/>
      <c r="K182" s="5" t="n">
        <v>9</v>
      </c>
      <c r="L182" s="5" t="s">
        <v>42</v>
      </c>
      <c r="M182" s="5"/>
      <c r="N182" s="5" t="s">
        <v>43</v>
      </c>
      <c r="O182" s="5"/>
      <c r="P182" s="5"/>
      <c r="Q182" s="6" t="n">
        <v>0</v>
      </c>
      <c r="R182" s="5"/>
      <c r="S182" s="5"/>
      <c r="T182" s="5" t="s">
        <v>42</v>
      </c>
      <c r="U182" s="5" t="s">
        <v>884</v>
      </c>
      <c r="V182" s="5" t="n">
        <v>-3.719332</v>
      </c>
      <c r="W182" s="5" t="n">
        <v>-38.517791</v>
      </c>
    </row>
    <row r="183" customFormat="false" ht="23.25" hidden="false" customHeight="true" outlineLevel="0" collapsed="false">
      <c r="A183" s="5" t="s">
        <v>885</v>
      </c>
      <c r="B183" s="5" t="s">
        <v>36</v>
      </c>
      <c r="C183" s="5" t="s">
        <v>886</v>
      </c>
      <c r="D183" s="5" t="s">
        <v>403</v>
      </c>
      <c r="E183" s="5" t="s">
        <v>272</v>
      </c>
      <c r="F183" s="5" t="n">
        <v>45</v>
      </c>
      <c r="G183" s="5" t="s">
        <v>96</v>
      </c>
      <c r="H183" s="5" t="n">
        <v>11</v>
      </c>
      <c r="I183" s="5" t="n">
        <v>37</v>
      </c>
      <c r="J183" s="5" t="s">
        <v>619</v>
      </c>
      <c r="K183" s="5" t="n">
        <v>7</v>
      </c>
      <c r="L183" s="5" t="s">
        <v>42</v>
      </c>
      <c r="M183" s="5"/>
      <c r="N183" s="5" t="s">
        <v>569</v>
      </c>
      <c r="O183" s="5"/>
      <c r="P183" s="5"/>
      <c r="Q183" s="5"/>
      <c r="R183" s="5"/>
      <c r="S183" s="5"/>
      <c r="T183" s="5" t="s">
        <v>44</v>
      </c>
      <c r="U183" s="5" t="s">
        <v>405</v>
      </c>
      <c r="V183" s="5" t="n">
        <v>-3.764928</v>
      </c>
      <c r="W183" s="5" t="n">
        <v>-38.578898</v>
      </c>
    </row>
    <row r="184" customFormat="false" ht="23.25" hidden="false" customHeight="true" outlineLevel="0" collapsed="false">
      <c r="A184" s="5" t="s">
        <v>887</v>
      </c>
      <c r="B184" s="5" t="s">
        <v>52</v>
      </c>
      <c r="C184" s="5" t="s">
        <v>888</v>
      </c>
      <c r="D184" s="5" t="s">
        <v>889</v>
      </c>
      <c r="E184" s="5" t="s">
        <v>121</v>
      </c>
      <c r="F184" s="5" t="n">
        <v>12</v>
      </c>
      <c r="G184" s="5" t="s">
        <v>40</v>
      </c>
      <c r="H184" s="5" t="n">
        <v>1</v>
      </c>
      <c r="I184" s="5" t="n">
        <v>4</v>
      </c>
      <c r="J184" s="5"/>
      <c r="K184" s="5" t="n">
        <v>9</v>
      </c>
      <c r="L184" s="5" t="s">
        <v>42</v>
      </c>
      <c r="M184" s="5"/>
      <c r="N184" s="5" t="s">
        <v>43</v>
      </c>
      <c r="O184" s="5"/>
      <c r="P184" s="5"/>
      <c r="Q184" s="6" t="n">
        <v>0</v>
      </c>
      <c r="R184" s="5"/>
      <c r="S184" s="5"/>
      <c r="T184" s="5" t="s">
        <v>42</v>
      </c>
      <c r="U184" s="5" t="s">
        <v>890</v>
      </c>
      <c r="V184" s="5" t="n">
        <v>-3.706115</v>
      </c>
      <c r="W184" s="5" t="n">
        <v>-38.563456</v>
      </c>
    </row>
    <row r="185" customFormat="false" ht="23.25" hidden="false" customHeight="true" outlineLevel="0" collapsed="false">
      <c r="A185" s="5" t="s">
        <v>891</v>
      </c>
      <c r="B185" s="5" t="s">
        <v>36</v>
      </c>
      <c r="C185" s="5" t="s">
        <v>892</v>
      </c>
      <c r="D185" s="5" t="s">
        <v>893</v>
      </c>
      <c r="E185" s="5" t="s">
        <v>783</v>
      </c>
      <c r="F185" s="5" t="n">
        <v>106</v>
      </c>
      <c r="G185" s="5" t="s">
        <v>96</v>
      </c>
      <c r="H185" s="5" t="n">
        <v>11</v>
      </c>
      <c r="I185" s="5" t="n">
        <v>36</v>
      </c>
      <c r="J185" s="5" t="s">
        <v>619</v>
      </c>
      <c r="K185" s="5" t="n">
        <v>7</v>
      </c>
      <c r="L185" s="5" t="s">
        <v>42</v>
      </c>
      <c r="M185" s="5"/>
      <c r="N185" s="5" t="s">
        <v>569</v>
      </c>
      <c r="O185" s="5"/>
      <c r="P185" s="5"/>
      <c r="Q185" s="5"/>
      <c r="R185" s="5"/>
      <c r="S185" s="5"/>
      <c r="T185" s="5" t="s">
        <v>44</v>
      </c>
      <c r="U185" s="5" t="s">
        <v>894</v>
      </c>
      <c r="V185" s="5" t="n">
        <v>-3.753587</v>
      </c>
      <c r="W185" s="5" t="n">
        <v>-38.581783</v>
      </c>
    </row>
    <row r="186" customFormat="false" ht="23.25" hidden="false" customHeight="true" outlineLevel="0" collapsed="false">
      <c r="A186" s="5" t="s">
        <v>895</v>
      </c>
      <c r="B186" s="5" t="s">
        <v>52</v>
      </c>
      <c r="C186" s="5" t="s">
        <v>896</v>
      </c>
      <c r="D186" s="5" t="s">
        <v>897</v>
      </c>
      <c r="E186" s="5" t="s">
        <v>356</v>
      </c>
      <c r="F186" s="5" t="n">
        <v>117</v>
      </c>
      <c r="G186" s="5" t="s">
        <v>330</v>
      </c>
      <c r="H186" s="5" t="n">
        <v>9</v>
      </c>
      <c r="I186" s="5" t="n">
        <v>32</v>
      </c>
      <c r="J186" s="5"/>
      <c r="K186" s="5" t="n">
        <v>9</v>
      </c>
      <c r="L186" s="5" t="s">
        <v>42</v>
      </c>
      <c r="M186" s="5"/>
      <c r="N186" s="5" t="s">
        <v>43</v>
      </c>
      <c r="O186" s="5"/>
      <c r="P186" s="5"/>
      <c r="Q186" s="6" t="n">
        <v>0</v>
      </c>
      <c r="R186" s="5"/>
      <c r="S186" s="5"/>
      <c r="T186" s="5" t="s">
        <v>42</v>
      </c>
      <c r="U186" s="5" t="s">
        <v>898</v>
      </c>
      <c r="V186" s="5" t="n">
        <v>-3.846281</v>
      </c>
      <c r="W186" s="5" t="n">
        <v>-38.523124</v>
      </c>
    </row>
    <row r="187" customFormat="false" ht="23.25" hidden="false" customHeight="true" outlineLevel="0" collapsed="false">
      <c r="A187" s="5" t="s">
        <v>899</v>
      </c>
      <c r="B187" s="5" t="s">
        <v>52</v>
      </c>
      <c r="C187" s="5" t="s">
        <v>900</v>
      </c>
      <c r="D187" s="5" t="s">
        <v>901</v>
      </c>
      <c r="E187" s="5" t="s">
        <v>765</v>
      </c>
      <c r="F187" s="5" t="n">
        <v>69</v>
      </c>
      <c r="G187" s="5" t="s">
        <v>330</v>
      </c>
      <c r="H187" s="5" t="n">
        <v>9</v>
      </c>
      <c r="I187" s="5" t="n">
        <v>33</v>
      </c>
      <c r="J187" s="5"/>
      <c r="K187" s="5" t="n">
        <v>9</v>
      </c>
      <c r="L187" s="5" t="s">
        <v>42</v>
      </c>
      <c r="M187" s="5"/>
      <c r="N187" s="5" t="s">
        <v>43</v>
      </c>
      <c r="O187" s="5"/>
      <c r="P187" s="5"/>
      <c r="Q187" s="6" t="n">
        <v>0</v>
      </c>
      <c r="R187" s="5"/>
      <c r="S187" s="5"/>
      <c r="T187" s="5" t="s">
        <v>42</v>
      </c>
      <c r="U187" s="5" t="s">
        <v>902</v>
      </c>
      <c r="V187" s="5" t="n">
        <v>-3.888949</v>
      </c>
      <c r="W187" s="5" t="n">
        <v>-38.508964</v>
      </c>
    </row>
    <row r="188" customFormat="false" ht="23.25" hidden="false" customHeight="true" outlineLevel="0" collapsed="false">
      <c r="A188" s="5" t="s">
        <v>903</v>
      </c>
      <c r="B188" s="5" t="s">
        <v>52</v>
      </c>
      <c r="C188" s="5" t="s">
        <v>904</v>
      </c>
      <c r="D188" s="5" t="s">
        <v>905</v>
      </c>
      <c r="E188" s="5" t="s">
        <v>447</v>
      </c>
      <c r="F188" s="5" t="n">
        <v>21</v>
      </c>
      <c r="G188" s="5" t="s">
        <v>40</v>
      </c>
      <c r="H188" s="5" t="n">
        <v>1</v>
      </c>
      <c r="I188" s="5" t="n">
        <v>6</v>
      </c>
      <c r="J188" s="5"/>
      <c r="K188" s="5" t="n">
        <v>9</v>
      </c>
      <c r="L188" s="5" t="s">
        <v>42</v>
      </c>
      <c r="M188" s="5"/>
      <c r="N188" s="5" t="s">
        <v>43</v>
      </c>
      <c r="O188" s="5"/>
      <c r="P188" s="5"/>
      <c r="Q188" s="6" t="n">
        <v>0</v>
      </c>
      <c r="R188" s="5"/>
      <c r="S188" s="5"/>
      <c r="T188" s="5" t="s">
        <v>42</v>
      </c>
      <c r="U188" s="5" t="s">
        <v>906</v>
      </c>
      <c r="V188" s="5" t="n">
        <v>-3.722856</v>
      </c>
      <c r="W188" s="5" t="n">
        <v>-38.583501</v>
      </c>
    </row>
    <row r="189" customFormat="false" ht="23.25" hidden="false" customHeight="true" outlineLevel="0" collapsed="false">
      <c r="A189" s="5" t="s">
        <v>907</v>
      </c>
      <c r="B189" s="5" t="s">
        <v>36</v>
      </c>
      <c r="C189" s="5" t="s">
        <v>908</v>
      </c>
      <c r="D189" s="5" t="s">
        <v>909</v>
      </c>
      <c r="E189" s="5" t="s">
        <v>81</v>
      </c>
      <c r="F189" s="5" t="n">
        <v>78</v>
      </c>
      <c r="G189" s="5" t="s">
        <v>64</v>
      </c>
      <c r="H189" s="5" t="n">
        <v>5</v>
      </c>
      <c r="I189" s="5" t="n">
        <v>39</v>
      </c>
      <c r="J189" s="5"/>
      <c r="K189" s="5" t="n">
        <v>9</v>
      </c>
      <c r="L189" s="5" t="s">
        <v>42</v>
      </c>
      <c r="M189" s="5"/>
      <c r="N189" s="5" t="s">
        <v>43</v>
      </c>
      <c r="O189" s="5"/>
      <c r="P189" s="5"/>
      <c r="Q189" s="6" t="n">
        <v>0</v>
      </c>
      <c r="R189" s="5"/>
      <c r="S189" s="5"/>
      <c r="T189" s="5" t="s">
        <v>42</v>
      </c>
      <c r="U189" s="5" t="s">
        <v>910</v>
      </c>
      <c r="V189" s="5" t="n">
        <v>-3.782942</v>
      </c>
      <c r="W189" s="5" t="n">
        <v>-38.619358</v>
      </c>
    </row>
    <row r="190" customFormat="false" ht="34.5" hidden="false" customHeight="true" outlineLevel="0" collapsed="false">
      <c r="A190" s="5" t="s">
        <v>911</v>
      </c>
      <c r="B190" s="5" t="s">
        <v>275</v>
      </c>
      <c r="C190" s="5" t="s">
        <v>912</v>
      </c>
      <c r="D190" s="5" t="s">
        <v>913</v>
      </c>
      <c r="E190" s="5" t="s">
        <v>793</v>
      </c>
      <c r="F190" s="5" t="n">
        <v>110</v>
      </c>
      <c r="G190" s="5" t="s">
        <v>56</v>
      </c>
      <c r="H190" s="5" t="n">
        <v>2</v>
      </c>
      <c r="I190" s="5" t="n">
        <v>9</v>
      </c>
      <c r="J190" s="5" t="s">
        <v>568</v>
      </c>
      <c r="K190" s="5" t="n">
        <v>12</v>
      </c>
      <c r="L190" s="5" t="s">
        <v>44</v>
      </c>
      <c r="M190" s="5" t="s">
        <v>733</v>
      </c>
      <c r="N190" s="5" t="s">
        <v>569</v>
      </c>
      <c r="O190" s="5"/>
      <c r="P190" s="5"/>
      <c r="Q190" s="5"/>
      <c r="R190" s="5"/>
      <c r="S190" s="5"/>
      <c r="T190" s="5" t="s">
        <v>42</v>
      </c>
      <c r="U190" s="5" t="s">
        <v>914</v>
      </c>
      <c r="V190" s="5" t="n">
        <v>-3.71364</v>
      </c>
      <c r="W190" s="5" t="n">
        <v>-38.466607</v>
      </c>
    </row>
    <row r="191" customFormat="false" ht="23.25" hidden="false" customHeight="true" outlineLevel="0" collapsed="false">
      <c r="A191" s="5" t="s">
        <v>915</v>
      </c>
      <c r="B191" s="5" t="s">
        <v>52</v>
      </c>
      <c r="C191" s="5" t="s">
        <v>916</v>
      </c>
      <c r="D191" s="5" t="s">
        <v>488</v>
      </c>
      <c r="E191" s="5" t="s">
        <v>236</v>
      </c>
      <c r="F191" s="5" t="n">
        <v>122</v>
      </c>
      <c r="G191" s="5" t="s">
        <v>64</v>
      </c>
      <c r="H191" s="5" t="n">
        <v>10</v>
      </c>
      <c r="I191" s="5" t="n">
        <v>34</v>
      </c>
      <c r="J191" s="5"/>
      <c r="K191" s="5" t="n">
        <v>9</v>
      </c>
      <c r="L191" s="5" t="s">
        <v>42</v>
      </c>
      <c r="M191" s="5"/>
      <c r="N191" s="5" t="s">
        <v>43</v>
      </c>
      <c r="O191" s="5"/>
      <c r="P191" s="5"/>
      <c r="Q191" s="6" t="n">
        <v>0</v>
      </c>
      <c r="R191" s="5"/>
      <c r="S191" s="5"/>
      <c r="T191" s="5" t="s">
        <v>42</v>
      </c>
      <c r="U191" s="5" t="s">
        <v>489</v>
      </c>
      <c r="V191" s="5" t="n">
        <v>-3.829823</v>
      </c>
      <c r="W191" s="5" t="n">
        <v>-38.590793</v>
      </c>
    </row>
    <row r="192" customFormat="false" ht="23.25" hidden="false" customHeight="true" outlineLevel="0" collapsed="false">
      <c r="A192" s="5" t="s">
        <v>917</v>
      </c>
      <c r="B192" s="5" t="s">
        <v>36</v>
      </c>
      <c r="C192" s="5" t="s">
        <v>918</v>
      </c>
      <c r="D192" s="5" t="s">
        <v>919</v>
      </c>
      <c r="E192" s="5" t="s">
        <v>369</v>
      </c>
      <c r="F192" s="5" t="n">
        <v>74</v>
      </c>
      <c r="G192" s="5" t="s">
        <v>64</v>
      </c>
      <c r="H192" s="5" t="n">
        <v>10</v>
      </c>
      <c r="I192" s="5" t="n">
        <v>34</v>
      </c>
      <c r="J192" s="5" t="s">
        <v>41</v>
      </c>
      <c r="K192" s="5" t="n">
        <v>6</v>
      </c>
      <c r="L192" s="5" t="s">
        <v>42</v>
      </c>
      <c r="M192" s="5"/>
      <c r="N192" s="5" t="s">
        <v>822</v>
      </c>
      <c r="O192" s="6" t="n">
        <v>28964.57</v>
      </c>
      <c r="P192" s="5" t="s">
        <v>311</v>
      </c>
      <c r="Q192" s="6" t="n">
        <v>28964.57</v>
      </c>
      <c r="R192" s="5" t="s">
        <v>920</v>
      </c>
      <c r="S192" s="5"/>
      <c r="T192" s="5" t="s">
        <v>44</v>
      </c>
      <c r="U192" s="5" t="s">
        <v>921</v>
      </c>
      <c r="V192" s="5" t="n">
        <v>-3.821899</v>
      </c>
      <c r="W192" s="5" t="n">
        <v>-38.608277</v>
      </c>
    </row>
    <row r="193" customFormat="false" ht="34.5" hidden="false" customHeight="true" outlineLevel="0" collapsed="false">
      <c r="A193" s="5" t="s">
        <v>922</v>
      </c>
      <c r="B193" s="5" t="s">
        <v>52</v>
      </c>
      <c r="C193" s="5" t="s">
        <v>923</v>
      </c>
      <c r="D193" s="5" t="s">
        <v>924</v>
      </c>
      <c r="E193" s="5" t="s">
        <v>859</v>
      </c>
      <c r="F193" s="5" t="n">
        <v>58</v>
      </c>
      <c r="G193" s="5" t="s">
        <v>56</v>
      </c>
      <c r="H193" s="5" t="n">
        <v>7</v>
      </c>
      <c r="I193" s="5" t="n">
        <v>24</v>
      </c>
      <c r="J193" s="5" t="s">
        <v>568</v>
      </c>
      <c r="K193" s="5" t="n">
        <v>17</v>
      </c>
      <c r="L193" s="5" t="s">
        <v>44</v>
      </c>
      <c r="M193" s="5" t="s">
        <v>97</v>
      </c>
      <c r="N193" s="5" t="s">
        <v>569</v>
      </c>
      <c r="O193" s="5"/>
      <c r="P193" s="5"/>
      <c r="Q193" s="5"/>
      <c r="R193" s="5"/>
      <c r="S193" s="5"/>
      <c r="T193" s="5" t="s">
        <v>42</v>
      </c>
      <c r="U193" s="5" t="s">
        <v>925</v>
      </c>
      <c r="V193" s="5" t="n">
        <v>-3.769582</v>
      </c>
      <c r="W193" s="5" t="n">
        <v>-38.495851</v>
      </c>
    </row>
    <row r="194" customFormat="false" ht="23.25" hidden="false" customHeight="true" outlineLevel="0" collapsed="false">
      <c r="A194" s="5" t="s">
        <v>926</v>
      </c>
      <c r="B194" s="5" t="s">
        <v>52</v>
      </c>
      <c r="C194" s="5" t="s">
        <v>927</v>
      </c>
      <c r="D194" s="5" t="s">
        <v>928</v>
      </c>
      <c r="E194" s="5" t="s">
        <v>90</v>
      </c>
      <c r="F194" s="5" t="n">
        <v>114</v>
      </c>
      <c r="G194" s="5" t="s">
        <v>56</v>
      </c>
      <c r="H194" s="5" t="n">
        <v>7</v>
      </c>
      <c r="I194" s="5" t="n">
        <v>22</v>
      </c>
      <c r="J194" s="5" t="s">
        <v>568</v>
      </c>
      <c r="K194" s="5" t="n">
        <v>20</v>
      </c>
      <c r="L194" s="5" t="s">
        <v>44</v>
      </c>
      <c r="M194" s="5" t="s">
        <v>385</v>
      </c>
      <c r="N194" s="5" t="s">
        <v>569</v>
      </c>
      <c r="O194" s="5"/>
      <c r="P194" s="5"/>
      <c r="Q194" s="5"/>
      <c r="R194" s="5"/>
      <c r="S194" s="5"/>
      <c r="T194" s="5" t="s">
        <v>42</v>
      </c>
      <c r="U194" s="5" t="s">
        <v>929</v>
      </c>
      <c r="V194" s="5" t="n">
        <v>-3.765263</v>
      </c>
      <c r="W194" s="5" t="n">
        <v>-38.440862</v>
      </c>
    </row>
    <row r="195" customFormat="false" ht="23.25" hidden="false" customHeight="true" outlineLevel="0" collapsed="false">
      <c r="A195" s="5" t="s">
        <v>930</v>
      </c>
      <c r="B195" s="5" t="s">
        <v>52</v>
      </c>
      <c r="C195" s="5" t="s">
        <v>931</v>
      </c>
      <c r="D195" s="5" t="s">
        <v>932</v>
      </c>
      <c r="E195" s="5" t="s">
        <v>70</v>
      </c>
      <c r="F195" s="5" t="n">
        <v>89</v>
      </c>
      <c r="G195" s="5" t="s">
        <v>71</v>
      </c>
      <c r="H195" s="5" t="n">
        <v>8</v>
      </c>
      <c r="I195" s="5" t="n">
        <v>21</v>
      </c>
      <c r="J195" s="5" t="s">
        <v>619</v>
      </c>
      <c r="K195" s="5" t="n">
        <v>8</v>
      </c>
      <c r="L195" s="5" t="s">
        <v>42</v>
      </c>
      <c r="M195" s="5"/>
      <c r="N195" s="5" t="s">
        <v>569</v>
      </c>
      <c r="O195" s="5"/>
      <c r="P195" s="5"/>
      <c r="Q195" s="5"/>
      <c r="R195" s="5"/>
      <c r="S195" s="5"/>
      <c r="T195" s="5" t="s">
        <v>44</v>
      </c>
      <c r="U195" s="5" t="s">
        <v>933</v>
      </c>
      <c r="V195" s="5" t="n">
        <v>-3.837795</v>
      </c>
      <c r="W195" s="5" t="n">
        <v>-38.558308</v>
      </c>
    </row>
    <row r="196" customFormat="false" ht="23.25" hidden="false" customHeight="true" outlineLevel="0" collapsed="false">
      <c r="A196" s="5" t="s">
        <v>934</v>
      </c>
      <c r="B196" s="5" t="s">
        <v>52</v>
      </c>
      <c r="C196" s="5" t="s">
        <v>935</v>
      </c>
      <c r="D196" s="5" t="s">
        <v>812</v>
      </c>
      <c r="E196" s="5" t="s">
        <v>793</v>
      </c>
      <c r="F196" s="5" t="n">
        <v>110</v>
      </c>
      <c r="G196" s="5" t="s">
        <v>56</v>
      </c>
      <c r="H196" s="5" t="n">
        <v>2</v>
      </c>
      <c r="I196" s="5" t="n">
        <v>9</v>
      </c>
      <c r="J196" s="5" t="s">
        <v>568</v>
      </c>
      <c r="K196" s="5" t="n">
        <v>22</v>
      </c>
      <c r="L196" s="5" t="s">
        <v>44</v>
      </c>
      <c r="M196" s="5" t="s">
        <v>385</v>
      </c>
      <c r="N196" s="5" t="s">
        <v>569</v>
      </c>
      <c r="O196" s="5"/>
      <c r="P196" s="5"/>
      <c r="Q196" s="5"/>
      <c r="R196" s="5"/>
      <c r="S196" s="5"/>
      <c r="T196" s="5" t="s">
        <v>42</v>
      </c>
      <c r="U196" s="5" t="s">
        <v>813</v>
      </c>
      <c r="V196" s="5" t="n">
        <v>-3.722395</v>
      </c>
      <c r="W196" s="5" t="n">
        <v>-38.471827</v>
      </c>
    </row>
    <row r="197" customFormat="false" ht="23.25" hidden="false" customHeight="true" outlineLevel="0" collapsed="false">
      <c r="A197" s="5" t="s">
        <v>936</v>
      </c>
      <c r="B197" s="5" t="s">
        <v>52</v>
      </c>
      <c r="C197" s="5" t="s">
        <v>937</v>
      </c>
      <c r="D197" s="5" t="s">
        <v>938</v>
      </c>
      <c r="E197" s="5" t="s">
        <v>204</v>
      </c>
      <c r="F197" s="5" t="n">
        <v>40</v>
      </c>
      <c r="G197" s="5" t="s">
        <v>96</v>
      </c>
      <c r="H197" s="5" t="n">
        <v>3</v>
      </c>
      <c r="I197" s="5" t="n">
        <v>11</v>
      </c>
      <c r="J197" s="5" t="s">
        <v>568</v>
      </c>
      <c r="K197" s="5" t="n">
        <v>5</v>
      </c>
      <c r="L197" s="5" t="s">
        <v>42</v>
      </c>
      <c r="M197" s="5"/>
      <c r="N197" s="5" t="s">
        <v>569</v>
      </c>
      <c r="O197" s="5"/>
      <c r="P197" s="5"/>
      <c r="Q197" s="5"/>
      <c r="R197" s="5"/>
      <c r="S197" s="5"/>
      <c r="T197" s="5" t="s">
        <v>42</v>
      </c>
      <c r="U197" s="5" t="s">
        <v>939</v>
      </c>
      <c r="V197" s="5" t="n">
        <v>-3.73628</v>
      </c>
      <c r="W197" s="5" t="n">
        <v>-38.590628</v>
      </c>
    </row>
    <row r="198" customFormat="false" ht="23.25" hidden="false" customHeight="true" outlineLevel="0" collapsed="false">
      <c r="A198" s="5" t="s">
        <v>940</v>
      </c>
      <c r="B198" s="5" t="s">
        <v>36</v>
      </c>
      <c r="C198" s="5" t="s">
        <v>941</v>
      </c>
      <c r="D198" s="5" t="s">
        <v>942</v>
      </c>
      <c r="E198" s="5" t="s">
        <v>374</v>
      </c>
      <c r="F198" s="5" t="n">
        <v>61</v>
      </c>
      <c r="G198" s="5" t="s">
        <v>330</v>
      </c>
      <c r="H198" s="5" t="n">
        <v>9</v>
      </c>
      <c r="I198" s="5" t="n">
        <v>32</v>
      </c>
      <c r="J198" s="5" t="s">
        <v>619</v>
      </c>
      <c r="K198" s="5" t="n">
        <v>9</v>
      </c>
      <c r="L198" s="5" t="s">
        <v>42</v>
      </c>
      <c r="M198" s="5"/>
      <c r="N198" s="5" t="s">
        <v>569</v>
      </c>
      <c r="O198" s="5"/>
      <c r="P198" s="5"/>
      <c r="Q198" s="5"/>
      <c r="R198" s="5"/>
      <c r="S198" s="5"/>
      <c r="T198" s="5" t="s">
        <v>44</v>
      </c>
      <c r="U198" s="5" t="s">
        <v>943</v>
      </c>
      <c r="V198" s="5" t="n">
        <v>-3.842373</v>
      </c>
      <c r="W198" s="5" t="n">
        <v>-38.514793</v>
      </c>
    </row>
    <row r="199" customFormat="false" ht="23.25" hidden="false" customHeight="true" outlineLevel="0" collapsed="false">
      <c r="A199" s="5" t="s">
        <v>944</v>
      </c>
      <c r="B199" s="5" t="s">
        <v>275</v>
      </c>
      <c r="C199" s="5" t="s">
        <v>945</v>
      </c>
      <c r="D199" s="5" t="s">
        <v>946</v>
      </c>
      <c r="E199" s="5" t="s">
        <v>384</v>
      </c>
      <c r="F199" s="5" t="n">
        <v>94</v>
      </c>
      <c r="G199" s="5" t="s">
        <v>96</v>
      </c>
      <c r="H199" s="5" t="n">
        <v>11</v>
      </c>
      <c r="I199" s="5" t="n">
        <v>36</v>
      </c>
      <c r="J199" s="5" t="s">
        <v>568</v>
      </c>
      <c r="K199" s="5" t="n">
        <v>8</v>
      </c>
      <c r="L199" s="5" t="s">
        <v>44</v>
      </c>
      <c r="M199" s="5" t="s">
        <v>385</v>
      </c>
      <c r="N199" s="5" t="s">
        <v>569</v>
      </c>
      <c r="O199" s="5"/>
      <c r="P199" s="5"/>
      <c r="Q199" s="5"/>
      <c r="R199" s="5"/>
      <c r="S199" s="5"/>
      <c r="T199" s="5" t="s">
        <v>42</v>
      </c>
      <c r="U199" s="5" t="s">
        <v>947</v>
      </c>
      <c r="V199" s="5" t="n">
        <v>-3.750064</v>
      </c>
      <c r="W199" s="5" t="n">
        <v>-38.562222</v>
      </c>
    </row>
    <row r="200" customFormat="false" ht="23.25" hidden="false" customHeight="true" outlineLevel="0" collapsed="false">
      <c r="A200" s="5" t="s">
        <v>948</v>
      </c>
      <c r="B200" s="5" t="s">
        <v>52</v>
      </c>
      <c r="C200" s="5" t="s">
        <v>949</v>
      </c>
      <c r="D200" s="5" t="s">
        <v>950</v>
      </c>
      <c r="E200" s="5" t="s">
        <v>121</v>
      </c>
      <c r="F200" s="5" t="n">
        <v>12</v>
      </c>
      <c r="G200" s="5" t="s">
        <v>40</v>
      </c>
      <c r="H200" s="5" t="n">
        <v>1</v>
      </c>
      <c r="I200" s="5" t="n">
        <v>4</v>
      </c>
      <c r="J200" s="5" t="s">
        <v>619</v>
      </c>
      <c r="K200" s="5" t="n">
        <v>9</v>
      </c>
      <c r="L200" s="5" t="s">
        <v>42</v>
      </c>
      <c r="M200" s="5"/>
      <c r="N200" s="5" t="s">
        <v>569</v>
      </c>
      <c r="O200" s="5"/>
      <c r="P200" s="5"/>
      <c r="Q200" s="5"/>
      <c r="R200" s="5"/>
      <c r="S200" s="5"/>
      <c r="T200" s="5" t="s">
        <v>44</v>
      </c>
      <c r="U200" s="5" t="s">
        <v>951</v>
      </c>
      <c r="V200" s="5" t="n">
        <v>-3.709179</v>
      </c>
      <c r="W200" s="5" t="n">
        <v>-38.558593</v>
      </c>
    </row>
    <row r="201" customFormat="false" ht="23.25" hidden="false" customHeight="true" outlineLevel="0" collapsed="false">
      <c r="A201" s="5" t="s">
        <v>952</v>
      </c>
      <c r="B201" s="5" t="s">
        <v>36</v>
      </c>
      <c r="C201" s="5" t="s">
        <v>953</v>
      </c>
      <c r="D201" s="5" t="s">
        <v>954</v>
      </c>
      <c r="E201" s="5" t="s">
        <v>369</v>
      </c>
      <c r="F201" s="5" t="n">
        <v>74</v>
      </c>
      <c r="G201" s="5" t="s">
        <v>64</v>
      </c>
      <c r="H201" s="5" t="n">
        <v>10</v>
      </c>
      <c r="I201" s="5" t="n">
        <v>34</v>
      </c>
      <c r="J201" s="5" t="s">
        <v>41</v>
      </c>
      <c r="K201" s="5" t="n">
        <v>6</v>
      </c>
      <c r="L201" s="5" t="s">
        <v>42</v>
      </c>
      <c r="M201" s="5"/>
      <c r="N201" s="5" t="s">
        <v>822</v>
      </c>
      <c r="O201" s="6" t="n">
        <v>28810.97</v>
      </c>
      <c r="P201" s="5" t="s">
        <v>311</v>
      </c>
      <c r="Q201" s="6" t="n">
        <v>28810.97</v>
      </c>
      <c r="R201" s="5" t="s">
        <v>955</v>
      </c>
      <c r="S201" s="5"/>
      <c r="T201" s="5" t="s">
        <v>44</v>
      </c>
      <c r="U201" s="5" t="s">
        <v>956</v>
      </c>
      <c r="V201" s="5" t="n">
        <v>-3.817534</v>
      </c>
      <c r="W201" s="5" t="n">
        <v>-38.60244</v>
      </c>
    </row>
    <row r="202" customFormat="false" ht="23.25" hidden="false" customHeight="true" outlineLevel="0" collapsed="false">
      <c r="A202" s="5" t="s">
        <v>957</v>
      </c>
      <c r="B202" s="5" t="s">
        <v>52</v>
      </c>
      <c r="C202" s="5" t="s">
        <v>958</v>
      </c>
      <c r="D202" s="5" t="s">
        <v>959</v>
      </c>
      <c r="E202" s="5" t="s">
        <v>102</v>
      </c>
      <c r="F202" s="5" t="n">
        <v>48</v>
      </c>
      <c r="G202" s="5" t="s">
        <v>96</v>
      </c>
      <c r="H202" s="5" t="n">
        <v>3</v>
      </c>
      <c r="I202" s="5" t="n">
        <v>11</v>
      </c>
      <c r="J202" s="5" t="s">
        <v>568</v>
      </c>
      <c r="K202" s="5" t="n">
        <v>8</v>
      </c>
      <c r="L202" s="5" t="s">
        <v>42</v>
      </c>
      <c r="M202" s="5"/>
      <c r="N202" s="5" t="s">
        <v>569</v>
      </c>
      <c r="O202" s="5"/>
      <c r="P202" s="5"/>
      <c r="Q202" s="5"/>
      <c r="R202" s="5"/>
      <c r="S202" s="5"/>
      <c r="T202" s="5" t="s">
        <v>42</v>
      </c>
      <c r="U202" s="5" t="s">
        <v>960</v>
      </c>
      <c r="V202" s="5" t="n">
        <v>-3.726224</v>
      </c>
      <c r="W202" s="5" t="n">
        <v>-38.598494</v>
      </c>
    </row>
    <row r="203" customFormat="false" ht="23.25" hidden="false" customHeight="true" outlineLevel="0" collapsed="false">
      <c r="A203" s="5" t="s">
        <v>961</v>
      </c>
      <c r="B203" s="5" t="s">
        <v>275</v>
      </c>
      <c r="C203" s="5" t="s">
        <v>962</v>
      </c>
      <c r="D203" s="5" t="s">
        <v>963</v>
      </c>
      <c r="E203" s="5" t="s">
        <v>663</v>
      </c>
      <c r="F203" s="5" t="n">
        <v>42</v>
      </c>
      <c r="G203" s="5" t="s">
        <v>96</v>
      </c>
      <c r="H203" s="5" t="n">
        <v>11</v>
      </c>
      <c r="I203" s="5" t="n">
        <v>38</v>
      </c>
      <c r="J203" s="5" t="s">
        <v>568</v>
      </c>
      <c r="K203" s="5" t="n">
        <v>10</v>
      </c>
      <c r="L203" s="5" t="s">
        <v>44</v>
      </c>
      <c r="M203" s="5" t="s">
        <v>385</v>
      </c>
      <c r="N203" s="5" t="s">
        <v>569</v>
      </c>
      <c r="O203" s="5"/>
      <c r="P203" s="5"/>
      <c r="Q203" s="5"/>
      <c r="R203" s="5"/>
      <c r="S203" s="5"/>
      <c r="T203" s="5" t="s">
        <v>42</v>
      </c>
      <c r="U203" s="5" t="s">
        <v>964</v>
      </c>
      <c r="V203" s="5" t="n">
        <v>-3.762576</v>
      </c>
      <c r="W203" s="5" t="n">
        <v>-38.611886</v>
      </c>
    </row>
    <row r="204" customFormat="false" ht="23.25" hidden="false" customHeight="true" outlineLevel="0" collapsed="false">
      <c r="A204" s="5" t="s">
        <v>965</v>
      </c>
      <c r="B204" s="5" t="s">
        <v>52</v>
      </c>
      <c r="C204" s="5" t="s">
        <v>966</v>
      </c>
      <c r="D204" s="5" t="s">
        <v>967</v>
      </c>
      <c r="E204" s="5" t="s">
        <v>292</v>
      </c>
      <c r="F204" s="5" t="n">
        <v>43</v>
      </c>
      <c r="G204" s="5" t="s">
        <v>96</v>
      </c>
      <c r="H204" s="5" t="n">
        <v>11</v>
      </c>
      <c r="I204" s="5" t="n">
        <v>37</v>
      </c>
      <c r="J204" s="5" t="s">
        <v>568</v>
      </c>
      <c r="K204" s="5" t="n">
        <v>11</v>
      </c>
      <c r="L204" s="5" t="s">
        <v>42</v>
      </c>
      <c r="M204" s="5"/>
      <c r="N204" s="5" t="s">
        <v>569</v>
      </c>
      <c r="O204" s="5"/>
      <c r="P204" s="5"/>
      <c r="Q204" s="5"/>
      <c r="R204" s="5"/>
      <c r="S204" s="5"/>
      <c r="T204" s="5" t="s">
        <v>42</v>
      </c>
      <c r="U204" s="5" t="s">
        <v>968</v>
      </c>
      <c r="V204" s="5" t="n">
        <v>-3.749865</v>
      </c>
      <c r="W204" s="5" t="n">
        <v>-38.590995</v>
      </c>
    </row>
    <row r="205" customFormat="false" ht="23.25" hidden="false" customHeight="true" outlineLevel="0" collapsed="false">
      <c r="A205" s="5" t="s">
        <v>969</v>
      </c>
      <c r="B205" s="5" t="s">
        <v>36</v>
      </c>
      <c r="C205" s="5" t="s">
        <v>970</v>
      </c>
      <c r="D205" s="5" t="s">
        <v>971</v>
      </c>
      <c r="E205" s="5" t="s">
        <v>131</v>
      </c>
      <c r="F205" s="5" t="n">
        <v>95</v>
      </c>
      <c r="G205" s="5" t="s">
        <v>71</v>
      </c>
      <c r="H205" s="5" t="n">
        <v>8</v>
      </c>
      <c r="I205" s="5" t="n">
        <v>20</v>
      </c>
      <c r="J205" s="5" t="s">
        <v>41</v>
      </c>
      <c r="K205" s="5" t="n">
        <v>6</v>
      </c>
      <c r="L205" s="5" t="s">
        <v>42</v>
      </c>
      <c r="M205" s="5"/>
      <c r="N205" s="5" t="s">
        <v>822</v>
      </c>
      <c r="O205" s="6" t="n">
        <v>18386</v>
      </c>
      <c r="P205" s="5" t="s">
        <v>311</v>
      </c>
      <c r="Q205" s="6" t="n">
        <v>18386</v>
      </c>
      <c r="R205" s="5" t="s">
        <v>972</v>
      </c>
      <c r="S205" s="5"/>
      <c r="T205" s="5" t="s">
        <v>44</v>
      </c>
      <c r="U205" s="5" t="s">
        <v>973</v>
      </c>
      <c r="V205" s="5" t="n">
        <v>-3.79461</v>
      </c>
      <c r="W205" s="5" t="n">
        <v>-38.515378</v>
      </c>
    </row>
    <row r="206" customFormat="false" ht="23.25" hidden="false" customHeight="true" outlineLevel="0" collapsed="false">
      <c r="A206" s="5" t="s">
        <v>974</v>
      </c>
      <c r="B206" s="5" t="s">
        <v>36</v>
      </c>
      <c r="C206" s="5" t="s">
        <v>975</v>
      </c>
      <c r="D206" s="5" t="s">
        <v>976</v>
      </c>
      <c r="E206" s="5" t="s">
        <v>329</v>
      </c>
      <c r="F206" s="5" t="n">
        <v>120</v>
      </c>
      <c r="G206" s="5" t="s">
        <v>330</v>
      </c>
      <c r="H206" s="5" t="n">
        <v>9</v>
      </c>
      <c r="I206" s="5" t="n">
        <v>33</v>
      </c>
      <c r="J206" s="5" t="s">
        <v>619</v>
      </c>
      <c r="K206" s="5" t="n">
        <v>10</v>
      </c>
      <c r="L206" s="5" t="s">
        <v>44</v>
      </c>
      <c r="M206" s="5" t="s">
        <v>385</v>
      </c>
      <c r="N206" s="5" t="s">
        <v>569</v>
      </c>
      <c r="O206" s="5"/>
      <c r="P206" s="5"/>
      <c r="Q206" s="5"/>
      <c r="R206" s="5"/>
      <c r="S206" s="5"/>
      <c r="T206" s="5" t="s">
        <v>44</v>
      </c>
      <c r="U206" s="5" t="s">
        <v>977</v>
      </c>
      <c r="V206" s="5" t="n">
        <v>-3.851489</v>
      </c>
      <c r="W206" s="5" t="n">
        <v>-38.502834</v>
      </c>
    </row>
    <row r="207" customFormat="false" ht="23.25" hidden="false" customHeight="true" outlineLevel="0" collapsed="false">
      <c r="A207" s="5" t="s">
        <v>978</v>
      </c>
      <c r="B207" s="5" t="s">
        <v>36</v>
      </c>
      <c r="C207" s="5" t="s">
        <v>979</v>
      </c>
      <c r="D207" s="5" t="s">
        <v>980</v>
      </c>
      <c r="E207" s="5" t="s">
        <v>180</v>
      </c>
      <c r="F207" s="5" t="n">
        <v>17</v>
      </c>
      <c r="G207" s="5" t="s">
        <v>40</v>
      </c>
      <c r="H207" s="5" t="n">
        <v>1</v>
      </c>
      <c r="I207" s="5" t="n">
        <v>6</v>
      </c>
      <c r="J207" s="5" t="s">
        <v>619</v>
      </c>
      <c r="K207" s="5" t="n">
        <v>10</v>
      </c>
      <c r="L207" s="5" t="s">
        <v>44</v>
      </c>
      <c r="M207" s="5" t="s">
        <v>385</v>
      </c>
      <c r="N207" s="5" t="s">
        <v>569</v>
      </c>
      <c r="O207" s="5"/>
      <c r="P207" s="5"/>
      <c r="Q207" s="5"/>
      <c r="R207" s="5"/>
      <c r="S207" s="5"/>
      <c r="T207" s="5" t="s">
        <v>44</v>
      </c>
      <c r="U207" s="5" t="s">
        <v>981</v>
      </c>
      <c r="V207" s="5" t="n">
        <v>-3.720209</v>
      </c>
      <c r="W207" s="5" t="n">
        <v>-38.572865</v>
      </c>
    </row>
    <row r="208" customFormat="false" ht="23.25" hidden="false" customHeight="true" outlineLevel="0" collapsed="false">
      <c r="A208" s="5" t="s">
        <v>982</v>
      </c>
      <c r="B208" s="5" t="s">
        <v>36</v>
      </c>
      <c r="C208" s="5" t="s">
        <v>983</v>
      </c>
      <c r="D208" s="5" t="s">
        <v>984</v>
      </c>
      <c r="E208" s="5" t="s">
        <v>218</v>
      </c>
      <c r="F208" s="5" t="n">
        <v>107</v>
      </c>
      <c r="G208" s="5" t="s">
        <v>71</v>
      </c>
      <c r="H208" s="5" t="n">
        <v>8</v>
      </c>
      <c r="I208" s="5" t="n">
        <v>19</v>
      </c>
      <c r="J208" s="5" t="s">
        <v>619</v>
      </c>
      <c r="K208" s="5" t="n">
        <v>10</v>
      </c>
      <c r="L208" s="5" t="s">
        <v>44</v>
      </c>
      <c r="M208" s="5" t="s">
        <v>385</v>
      </c>
      <c r="N208" s="5" t="s">
        <v>569</v>
      </c>
      <c r="O208" s="5"/>
      <c r="P208" s="5"/>
      <c r="Q208" s="5"/>
      <c r="R208" s="5"/>
      <c r="S208" s="5"/>
      <c r="T208" s="5" t="s">
        <v>44</v>
      </c>
      <c r="U208" s="5" t="s">
        <v>985</v>
      </c>
      <c r="V208" s="5" t="n">
        <v>-3.784729</v>
      </c>
      <c r="W208" s="5" t="n">
        <v>-38.53909</v>
      </c>
    </row>
    <row r="209" customFormat="false" ht="23.25" hidden="false" customHeight="true" outlineLevel="0" collapsed="false">
      <c r="A209" s="5" t="s">
        <v>986</v>
      </c>
      <c r="B209" s="5" t="s">
        <v>36</v>
      </c>
      <c r="C209" s="5" t="s">
        <v>987</v>
      </c>
      <c r="D209" s="5" t="s">
        <v>988</v>
      </c>
      <c r="E209" s="5" t="s">
        <v>989</v>
      </c>
      <c r="F209" s="5" t="n">
        <v>59</v>
      </c>
      <c r="G209" s="5" t="s">
        <v>330</v>
      </c>
      <c r="H209" s="5" t="n">
        <v>6</v>
      </c>
      <c r="I209" s="5" t="n">
        <v>29</v>
      </c>
      <c r="J209" s="5" t="s">
        <v>619</v>
      </c>
      <c r="K209" s="5" t="n">
        <v>10</v>
      </c>
      <c r="L209" s="5" t="s">
        <v>44</v>
      </c>
      <c r="M209" s="5" t="s">
        <v>385</v>
      </c>
      <c r="N209" s="5" t="s">
        <v>569</v>
      </c>
      <c r="O209" s="5"/>
      <c r="P209" s="5"/>
      <c r="Q209" s="5"/>
      <c r="R209" s="5"/>
      <c r="S209" s="5"/>
      <c r="T209" s="5" t="s">
        <v>44</v>
      </c>
      <c r="U209" s="5" t="s">
        <v>990</v>
      </c>
      <c r="V209" s="5" t="n">
        <v>-3.836506</v>
      </c>
      <c r="W209" s="5" t="n">
        <v>-38.478645</v>
      </c>
    </row>
    <row r="210" customFormat="false" ht="23.25" hidden="false" customHeight="true" outlineLevel="0" collapsed="false">
      <c r="A210" s="5" t="s">
        <v>991</v>
      </c>
      <c r="B210" s="5" t="s">
        <v>36</v>
      </c>
      <c r="C210" s="5" t="s">
        <v>992</v>
      </c>
      <c r="D210" s="5" t="s">
        <v>993</v>
      </c>
      <c r="E210" s="5" t="s">
        <v>107</v>
      </c>
      <c r="F210" s="5" t="n">
        <v>115</v>
      </c>
      <c r="G210" s="5" t="s">
        <v>71</v>
      </c>
      <c r="H210" s="5" t="n">
        <v>8</v>
      </c>
      <c r="I210" s="5" t="n">
        <v>21</v>
      </c>
      <c r="J210" s="5" t="s">
        <v>619</v>
      </c>
      <c r="K210" s="5" t="n">
        <v>10</v>
      </c>
      <c r="L210" s="5" t="s">
        <v>44</v>
      </c>
      <c r="M210" s="5" t="s">
        <v>385</v>
      </c>
      <c r="N210" s="5" t="s">
        <v>569</v>
      </c>
      <c r="O210" s="5"/>
      <c r="P210" s="5"/>
      <c r="Q210" s="5"/>
      <c r="R210" s="5"/>
      <c r="S210" s="5"/>
      <c r="T210" s="5" t="s">
        <v>44</v>
      </c>
      <c r="U210" s="5" t="s">
        <v>994</v>
      </c>
      <c r="V210" s="5" t="n">
        <v>-3.834826</v>
      </c>
      <c r="W210" s="5" t="n">
        <v>-38.564799</v>
      </c>
    </row>
    <row r="211" customFormat="false" ht="23.25" hidden="false" customHeight="true" outlineLevel="0" collapsed="false">
      <c r="A211" s="5" t="s">
        <v>995</v>
      </c>
      <c r="B211" s="5" t="s">
        <v>36</v>
      </c>
      <c r="C211" s="5" t="s">
        <v>996</v>
      </c>
      <c r="D211" s="5" t="s">
        <v>997</v>
      </c>
      <c r="E211" s="5" t="s">
        <v>190</v>
      </c>
      <c r="F211" s="5" t="n">
        <v>57</v>
      </c>
      <c r="G211" s="5" t="s">
        <v>56</v>
      </c>
      <c r="H211" s="5" t="n">
        <v>7</v>
      </c>
      <c r="I211" s="5" t="n">
        <v>25</v>
      </c>
      <c r="J211" s="5" t="s">
        <v>619</v>
      </c>
      <c r="K211" s="5" t="n">
        <v>10</v>
      </c>
      <c r="L211" s="5" t="s">
        <v>44</v>
      </c>
      <c r="M211" s="5" t="s">
        <v>385</v>
      </c>
      <c r="N211" s="5" t="s">
        <v>569</v>
      </c>
      <c r="O211" s="5"/>
      <c r="P211" s="5"/>
      <c r="Q211" s="5"/>
      <c r="R211" s="5"/>
      <c r="S211" s="5"/>
      <c r="T211" s="5" t="s">
        <v>44</v>
      </c>
      <c r="U211" s="5" t="s">
        <v>998</v>
      </c>
      <c r="V211" s="5" t="n">
        <v>-3.773749</v>
      </c>
      <c r="W211" s="5" t="n">
        <v>-38.468876</v>
      </c>
    </row>
    <row r="212" customFormat="false" ht="23.25" hidden="false" customHeight="true" outlineLevel="0" collapsed="false">
      <c r="A212" s="5" t="s">
        <v>999</v>
      </c>
      <c r="B212" s="5" t="s">
        <v>36</v>
      </c>
      <c r="C212" s="5" t="s">
        <v>1000</v>
      </c>
      <c r="D212" s="5" t="s">
        <v>1001</v>
      </c>
      <c r="E212" s="5" t="s">
        <v>70</v>
      </c>
      <c r="F212" s="5" t="n">
        <v>89</v>
      </c>
      <c r="G212" s="5" t="s">
        <v>71</v>
      </c>
      <c r="H212" s="5" t="n">
        <v>8</v>
      </c>
      <c r="I212" s="5" t="n">
        <v>21</v>
      </c>
      <c r="J212" s="5" t="s">
        <v>619</v>
      </c>
      <c r="K212" s="5" t="n">
        <v>10</v>
      </c>
      <c r="L212" s="5" t="s">
        <v>44</v>
      </c>
      <c r="M212" s="5" t="s">
        <v>97</v>
      </c>
      <c r="N212" s="5" t="s">
        <v>569</v>
      </c>
      <c r="O212" s="5"/>
      <c r="P212" s="5"/>
      <c r="Q212" s="5"/>
      <c r="R212" s="5"/>
      <c r="S212" s="5"/>
      <c r="T212" s="5" t="s">
        <v>44</v>
      </c>
      <c r="U212" s="5" t="s">
        <v>1002</v>
      </c>
      <c r="V212" s="5" t="n">
        <v>-3.83229</v>
      </c>
      <c r="W212" s="5" t="n">
        <v>-38.535727</v>
      </c>
    </row>
    <row r="213" customFormat="false" ht="23.25" hidden="false" customHeight="true" outlineLevel="0" collapsed="false">
      <c r="A213" s="5" t="s">
        <v>1003</v>
      </c>
      <c r="B213" s="5" t="s">
        <v>36</v>
      </c>
      <c r="C213" s="5" t="s">
        <v>1004</v>
      </c>
      <c r="D213" s="5" t="s">
        <v>1005</v>
      </c>
      <c r="E213" s="5" t="s">
        <v>1006</v>
      </c>
      <c r="F213" s="5" t="n">
        <v>64</v>
      </c>
      <c r="G213" s="5" t="s">
        <v>56</v>
      </c>
      <c r="H213" s="5" t="n">
        <v>7</v>
      </c>
      <c r="I213" s="5" t="n">
        <v>25</v>
      </c>
      <c r="J213" s="5" t="s">
        <v>619</v>
      </c>
      <c r="K213" s="5" t="n">
        <v>10</v>
      </c>
      <c r="L213" s="5" t="s">
        <v>44</v>
      </c>
      <c r="M213" s="5" t="s">
        <v>385</v>
      </c>
      <c r="N213" s="5" t="s">
        <v>569</v>
      </c>
      <c r="O213" s="5"/>
      <c r="P213" s="5"/>
      <c r="Q213" s="5"/>
      <c r="R213" s="5"/>
      <c r="S213" s="5"/>
      <c r="T213" s="5" t="s">
        <v>44</v>
      </c>
      <c r="U213" s="5" t="s">
        <v>1007</v>
      </c>
      <c r="V213" s="5" t="n">
        <v>-3.804442</v>
      </c>
      <c r="W213" s="5" t="n">
        <v>-38.461214</v>
      </c>
    </row>
    <row r="214" customFormat="false" ht="23.25" hidden="false" customHeight="true" outlineLevel="0" collapsed="false">
      <c r="A214" s="5" t="s">
        <v>1008</v>
      </c>
      <c r="B214" s="5" t="s">
        <v>36</v>
      </c>
      <c r="C214" s="5" t="s">
        <v>1009</v>
      </c>
      <c r="D214" s="5" t="s">
        <v>1010</v>
      </c>
      <c r="E214" s="5" t="s">
        <v>379</v>
      </c>
      <c r="F214" s="5" t="n">
        <v>118</v>
      </c>
      <c r="G214" s="5" t="s">
        <v>330</v>
      </c>
      <c r="H214" s="5" t="n">
        <v>6</v>
      </c>
      <c r="I214" s="5" t="n">
        <v>30</v>
      </c>
      <c r="J214" s="5" t="s">
        <v>619</v>
      </c>
      <c r="K214" s="5" t="n">
        <v>10</v>
      </c>
      <c r="L214" s="5" t="s">
        <v>44</v>
      </c>
      <c r="M214" s="5" t="s">
        <v>385</v>
      </c>
      <c r="N214" s="5" t="s">
        <v>569</v>
      </c>
      <c r="O214" s="5"/>
      <c r="P214" s="5"/>
      <c r="Q214" s="5"/>
      <c r="R214" s="5"/>
      <c r="S214" s="5"/>
      <c r="T214" s="5" t="s">
        <v>44</v>
      </c>
      <c r="U214" s="5" t="s">
        <v>1011</v>
      </c>
      <c r="V214" s="5" t="n">
        <v>-3.852591</v>
      </c>
      <c r="W214" s="5" t="n">
        <v>-38.480227</v>
      </c>
    </row>
    <row r="215" customFormat="false" ht="23.25" hidden="false" customHeight="true" outlineLevel="0" collapsed="false">
      <c r="A215" s="5" t="s">
        <v>1012</v>
      </c>
      <c r="B215" s="5" t="s">
        <v>36</v>
      </c>
      <c r="C215" s="5" t="s">
        <v>1013</v>
      </c>
      <c r="D215" s="5" t="s">
        <v>1014</v>
      </c>
      <c r="E215" s="5" t="s">
        <v>126</v>
      </c>
      <c r="F215" s="5" t="n">
        <v>77</v>
      </c>
      <c r="G215" s="5" t="s">
        <v>71</v>
      </c>
      <c r="H215" s="5" t="n">
        <v>8</v>
      </c>
      <c r="I215" s="5" t="n">
        <v>19</v>
      </c>
      <c r="J215" s="5" t="s">
        <v>619</v>
      </c>
      <c r="K215" s="5" t="n">
        <v>10</v>
      </c>
      <c r="L215" s="5" t="s">
        <v>44</v>
      </c>
      <c r="M215" s="5" t="s">
        <v>97</v>
      </c>
      <c r="N215" s="5" t="s">
        <v>569</v>
      </c>
      <c r="O215" s="5"/>
      <c r="P215" s="5"/>
      <c r="Q215" s="5"/>
      <c r="R215" s="5"/>
      <c r="S215" s="5"/>
      <c r="T215" s="5" t="s">
        <v>44</v>
      </c>
      <c r="U215" s="5" t="s">
        <v>1015</v>
      </c>
      <c r="V215" s="5" t="n">
        <v>-3.802243</v>
      </c>
      <c r="W215" s="5" t="n">
        <v>-38.552965</v>
      </c>
    </row>
    <row r="216" customFormat="false" ht="23.25" hidden="false" customHeight="true" outlineLevel="0" collapsed="false">
      <c r="A216" s="5" t="s">
        <v>1016</v>
      </c>
      <c r="B216" s="5" t="s">
        <v>36</v>
      </c>
      <c r="C216" s="5" t="s">
        <v>1017</v>
      </c>
      <c r="D216" s="5" t="s">
        <v>1018</v>
      </c>
      <c r="E216" s="5" t="s">
        <v>70</v>
      </c>
      <c r="F216" s="5" t="n">
        <v>89</v>
      </c>
      <c r="G216" s="5" t="s">
        <v>71</v>
      </c>
      <c r="H216" s="5" t="n">
        <v>8</v>
      </c>
      <c r="I216" s="5" t="n">
        <v>21</v>
      </c>
      <c r="J216" s="5" t="s">
        <v>619</v>
      </c>
      <c r="K216" s="5" t="n">
        <v>10</v>
      </c>
      <c r="L216" s="5" t="s">
        <v>44</v>
      </c>
      <c r="M216" s="5" t="s">
        <v>385</v>
      </c>
      <c r="N216" s="5" t="s">
        <v>569</v>
      </c>
      <c r="O216" s="5"/>
      <c r="P216" s="5"/>
      <c r="Q216" s="5"/>
      <c r="R216" s="5"/>
      <c r="S216" s="5"/>
      <c r="T216" s="5" t="s">
        <v>44</v>
      </c>
      <c r="U216" s="5" t="s">
        <v>1019</v>
      </c>
      <c r="V216" s="5" t="n">
        <v>-3.822939</v>
      </c>
      <c r="W216" s="5" t="n">
        <v>-38.554175</v>
      </c>
    </row>
    <row r="217" customFormat="false" ht="23.25" hidden="false" customHeight="true" outlineLevel="0" collapsed="false">
      <c r="A217" s="5" t="s">
        <v>1020</v>
      </c>
      <c r="B217" s="5" t="s">
        <v>36</v>
      </c>
      <c r="C217" s="5" t="s">
        <v>1021</v>
      </c>
      <c r="D217" s="5" t="s">
        <v>1022</v>
      </c>
      <c r="E217" s="5" t="s">
        <v>793</v>
      </c>
      <c r="F217" s="5" t="n">
        <v>110</v>
      </c>
      <c r="G217" s="5" t="s">
        <v>56</v>
      </c>
      <c r="H217" s="5" t="n">
        <v>2</v>
      </c>
      <c r="I217" s="5" t="n">
        <v>9</v>
      </c>
      <c r="J217" s="5" t="s">
        <v>619</v>
      </c>
      <c r="K217" s="5" t="n">
        <v>10</v>
      </c>
      <c r="L217" s="5" t="s">
        <v>44</v>
      </c>
      <c r="M217" s="5" t="s">
        <v>97</v>
      </c>
      <c r="N217" s="5" t="s">
        <v>569</v>
      </c>
      <c r="O217" s="5"/>
      <c r="P217" s="5"/>
      <c r="Q217" s="5"/>
      <c r="R217" s="5"/>
      <c r="S217" s="5"/>
      <c r="T217" s="5" t="s">
        <v>44</v>
      </c>
      <c r="U217" s="5" t="s">
        <v>1023</v>
      </c>
      <c r="V217" s="5" t="n">
        <v>-3.722935</v>
      </c>
      <c r="W217" s="5" t="n">
        <v>-38.472766</v>
      </c>
    </row>
    <row r="218" customFormat="false" ht="23.25" hidden="false" customHeight="true" outlineLevel="0" collapsed="false">
      <c r="A218" s="5" t="s">
        <v>1024</v>
      </c>
      <c r="B218" s="5" t="s">
        <v>36</v>
      </c>
      <c r="C218" s="5" t="s">
        <v>1025</v>
      </c>
      <c r="D218" s="5" t="s">
        <v>1026</v>
      </c>
      <c r="E218" s="5" t="s">
        <v>156</v>
      </c>
      <c r="F218" s="5" t="n">
        <v>6</v>
      </c>
      <c r="G218" s="5" t="s">
        <v>40</v>
      </c>
      <c r="H218" s="5" t="n">
        <v>1</v>
      </c>
      <c r="I218" s="5" t="n">
        <v>3</v>
      </c>
      <c r="J218" s="5" t="s">
        <v>41</v>
      </c>
      <c r="K218" s="5" t="n">
        <v>6</v>
      </c>
      <c r="L218" s="5" t="s">
        <v>42</v>
      </c>
      <c r="M218" s="5"/>
      <c r="N218" s="5" t="s">
        <v>822</v>
      </c>
      <c r="O218" s="6" t="n">
        <v>4948.33</v>
      </c>
      <c r="P218" s="5" t="s">
        <v>311</v>
      </c>
      <c r="Q218" s="6" t="n">
        <v>4948.33</v>
      </c>
      <c r="R218" s="5" t="s">
        <v>1027</v>
      </c>
      <c r="S218" s="5"/>
      <c r="T218" s="5" t="s">
        <v>44</v>
      </c>
      <c r="U218" s="5" t="s">
        <v>1028</v>
      </c>
      <c r="V218" s="5" t="n">
        <v>-3.694996</v>
      </c>
      <c r="W218" s="5" t="n">
        <v>-38.581937</v>
      </c>
    </row>
    <row r="219" customFormat="false" ht="23.25" hidden="false" customHeight="true" outlineLevel="0" collapsed="false">
      <c r="A219" s="5" t="s">
        <v>1029</v>
      </c>
      <c r="B219" s="5" t="s">
        <v>52</v>
      </c>
      <c r="C219" s="5" t="s">
        <v>1030</v>
      </c>
      <c r="D219" s="5" t="s">
        <v>1031</v>
      </c>
      <c r="E219" s="5" t="s">
        <v>1032</v>
      </c>
      <c r="F219" s="5" t="n">
        <v>38</v>
      </c>
      <c r="G219" s="5" t="s">
        <v>96</v>
      </c>
      <c r="H219" s="5" t="n">
        <v>3</v>
      </c>
      <c r="I219" s="5" t="n">
        <v>13</v>
      </c>
      <c r="J219" s="5" t="s">
        <v>41</v>
      </c>
      <c r="K219" s="5" t="n">
        <v>6</v>
      </c>
      <c r="L219" s="5" t="s">
        <v>42</v>
      </c>
      <c r="M219" s="5"/>
      <c r="N219" s="5" t="s">
        <v>822</v>
      </c>
      <c r="O219" s="6" t="n">
        <v>35961.26</v>
      </c>
      <c r="P219" s="5" t="s">
        <v>311</v>
      </c>
      <c r="Q219" s="6" t="n">
        <v>35961.26</v>
      </c>
      <c r="R219" s="5" t="s">
        <v>1033</v>
      </c>
      <c r="S219" s="5"/>
      <c r="T219" s="5" t="s">
        <v>44</v>
      </c>
      <c r="U219" s="5" t="s">
        <v>1034</v>
      </c>
      <c r="V219" s="5" t="n">
        <v>-3.723191</v>
      </c>
      <c r="W219" s="5" t="n">
        <v>-38.56147</v>
      </c>
    </row>
    <row r="220" customFormat="false" ht="23.25" hidden="false" customHeight="true" outlineLevel="0" collapsed="false">
      <c r="A220" s="5" t="s">
        <v>1035</v>
      </c>
      <c r="B220" s="5" t="s">
        <v>36</v>
      </c>
      <c r="C220" s="5" t="s">
        <v>1036</v>
      </c>
      <c r="D220" s="5" t="s">
        <v>1037</v>
      </c>
      <c r="E220" s="5" t="s">
        <v>246</v>
      </c>
      <c r="F220" s="5" t="n">
        <v>113</v>
      </c>
      <c r="G220" s="5" t="s">
        <v>56</v>
      </c>
      <c r="H220" s="5" t="n">
        <v>7</v>
      </c>
      <c r="I220" s="5" t="n">
        <v>22</v>
      </c>
      <c r="J220" s="5" t="s">
        <v>41</v>
      </c>
      <c r="K220" s="5" t="n">
        <v>7</v>
      </c>
      <c r="L220" s="5" t="s">
        <v>42</v>
      </c>
      <c r="M220" s="5"/>
      <c r="N220" s="5" t="s">
        <v>822</v>
      </c>
      <c r="O220" s="6" t="n">
        <v>28964.57</v>
      </c>
      <c r="P220" s="5" t="s">
        <v>311</v>
      </c>
      <c r="Q220" s="6" t="n">
        <v>28964.57</v>
      </c>
      <c r="R220" s="5" t="s">
        <v>1038</v>
      </c>
      <c r="S220" s="5"/>
      <c r="T220" s="5" t="s">
        <v>44</v>
      </c>
      <c r="U220" s="5" t="s">
        <v>1039</v>
      </c>
      <c r="V220" s="5" t="n">
        <v>-3.744579</v>
      </c>
      <c r="W220" s="5" t="n">
        <v>-38.45498</v>
      </c>
    </row>
    <row r="221" customFormat="false" ht="23.25" hidden="false" customHeight="true" outlineLevel="0" collapsed="false">
      <c r="A221" s="5" t="s">
        <v>1040</v>
      </c>
      <c r="B221" s="5" t="s">
        <v>36</v>
      </c>
      <c r="C221" s="5" t="s">
        <v>1041</v>
      </c>
      <c r="D221" s="5" t="s">
        <v>1042</v>
      </c>
      <c r="E221" s="5" t="s">
        <v>374</v>
      </c>
      <c r="F221" s="5" t="n">
        <v>61</v>
      </c>
      <c r="G221" s="5" t="s">
        <v>330</v>
      </c>
      <c r="H221" s="5" t="n">
        <v>9</v>
      </c>
      <c r="I221" s="5" t="n">
        <v>32</v>
      </c>
      <c r="J221" s="5" t="s">
        <v>41</v>
      </c>
      <c r="K221" s="5" t="n">
        <v>7</v>
      </c>
      <c r="L221" s="5" t="s">
        <v>42</v>
      </c>
      <c r="M221" s="5"/>
      <c r="N221" s="5" t="s">
        <v>822</v>
      </c>
      <c r="O221" s="6" t="n">
        <v>32494.19</v>
      </c>
      <c r="P221" s="5" t="s">
        <v>311</v>
      </c>
      <c r="Q221" s="6" t="n">
        <v>32494.19</v>
      </c>
      <c r="R221" s="5" t="s">
        <v>1043</v>
      </c>
      <c r="S221" s="5"/>
      <c r="T221" s="5" t="s">
        <v>44</v>
      </c>
      <c r="U221" s="5" t="s">
        <v>1044</v>
      </c>
      <c r="V221" s="5" t="n">
        <v>-3.844235</v>
      </c>
      <c r="W221" s="5" t="n">
        <v>-38.50649</v>
      </c>
    </row>
    <row r="222" customFormat="false" ht="23.25" hidden="false" customHeight="true" outlineLevel="0" collapsed="false">
      <c r="A222" s="5" t="s">
        <v>1045</v>
      </c>
      <c r="B222" s="5" t="s">
        <v>36</v>
      </c>
      <c r="C222" s="5" t="s">
        <v>1046</v>
      </c>
      <c r="D222" s="5" t="s">
        <v>1047</v>
      </c>
      <c r="E222" s="5" t="s">
        <v>1048</v>
      </c>
      <c r="F222" s="5" t="n">
        <v>112</v>
      </c>
      <c r="G222" s="5" t="s">
        <v>56</v>
      </c>
      <c r="H222" s="5" t="n">
        <v>7</v>
      </c>
      <c r="I222" s="5" t="n">
        <v>23</v>
      </c>
      <c r="J222" s="5" t="s">
        <v>41</v>
      </c>
      <c r="K222" s="5" t="n">
        <v>7</v>
      </c>
      <c r="L222" s="5" t="s">
        <v>42</v>
      </c>
      <c r="M222" s="5"/>
      <c r="N222" s="5" t="s">
        <v>822</v>
      </c>
      <c r="O222" s="6" t="n">
        <v>28964.57</v>
      </c>
      <c r="P222" s="5" t="s">
        <v>311</v>
      </c>
      <c r="Q222" s="6" t="n">
        <v>28964.57</v>
      </c>
      <c r="R222" s="5" t="s">
        <v>854</v>
      </c>
      <c r="S222" s="5"/>
      <c r="T222" s="5" t="s">
        <v>44</v>
      </c>
      <c r="U222" s="5" t="s">
        <v>1049</v>
      </c>
      <c r="V222" s="5" t="n">
        <v>-3.756552</v>
      </c>
      <c r="W222" s="5" t="n">
        <v>-38.468486</v>
      </c>
    </row>
    <row r="223" customFormat="false" ht="23.25" hidden="false" customHeight="true" outlineLevel="0" collapsed="false">
      <c r="A223" s="5" t="s">
        <v>1050</v>
      </c>
      <c r="B223" s="5" t="s">
        <v>36</v>
      </c>
      <c r="C223" s="5" t="s">
        <v>1051</v>
      </c>
      <c r="D223" s="5" t="s">
        <v>1052</v>
      </c>
      <c r="E223" s="5" t="s">
        <v>131</v>
      </c>
      <c r="F223" s="5" t="n">
        <v>95</v>
      </c>
      <c r="G223" s="5" t="s">
        <v>71</v>
      </c>
      <c r="H223" s="5" t="n">
        <v>8</v>
      </c>
      <c r="I223" s="5" t="n">
        <v>20</v>
      </c>
      <c r="J223" s="5" t="s">
        <v>41</v>
      </c>
      <c r="K223" s="5" t="n">
        <v>7</v>
      </c>
      <c r="L223" s="5" t="s">
        <v>42</v>
      </c>
      <c r="M223" s="5"/>
      <c r="N223" s="5" t="s">
        <v>822</v>
      </c>
      <c r="O223" s="6" t="n">
        <v>28810.97</v>
      </c>
      <c r="P223" s="5" t="s">
        <v>311</v>
      </c>
      <c r="Q223" s="6" t="n">
        <v>28810.97</v>
      </c>
      <c r="R223" s="5" t="s">
        <v>1053</v>
      </c>
      <c r="S223" s="5"/>
      <c r="T223" s="5" t="s">
        <v>44</v>
      </c>
      <c r="U223" s="5" t="s">
        <v>1054</v>
      </c>
      <c r="V223" s="5" t="n">
        <v>-3.809792</v>
      </c>
      <c r="W223" s="5" t="n">
        <v>-38.516221</v>
      </c>
    </row>
    <row r="224" customFormat="false" ht="23.25" hidden="false" customHeight="true" outlineLevel="0" collapsed="false">
      <c r="A224" s="5" t="s">
        <v>1055</v>
      </c>
      <c r="B224" s="5" t="s">
        <v>36</v>
      </c>
      <c r="C224" s="5" t="s">
        <v>1056</v>
      </c>
      <c r="D224" s="5" t="s">
        <v>1057</v>
      </c>
      <c r="E224" s="5" t="s">
        <v>126</v>
      </c>
      <c r="F224" s="5" t="n">
        <v>77</v>
      </c>
      <c r="G224" s="5" t="s">
        <v>71</v>
      </c>
      <c r="H224" s="5" t="n">
        <v>8</v>
      </c>
      <c r="I224" s="5" t="n">
        <v>19</v>
      </c>
      <c r="J224" s="5" t="s">
        <v>619</v>
      </c>
      <c r="K224" s="5" t="n">
        <v>10</v>
      </c>
      <c r="L224" s="5" t="s">
        <v>44</v>
      </c>
      <c r="M224" s="5" t="s">
        <v>385</v>
      </c>
      <c r="N224" s="5" t="s">
        <v>569</v>
      </c>
      <c r="O224" s="5"/>
      <c r="P224" s="5"/>
      <c r="Q224" s="5"/>
      <c r="R224" s="5"/>
      <c r="S224" s="5"/>
      <c r="T224" s="5" t="s">
        <v>44</v>
      </c>
      <c r="U224" s="5" t="s">
        <v>1058</v>
      </c>
      <c r="V224" s="5" t="n">
        <v>-3.792145</v>
      </c>
      <c r="W224" s="5" t="n">
        <v>-38.560943</v>
      </c>
    </row>
    <row r="225" customFormat="false" ht="23.25" hidden="false" customHeight="true" outlineLevel="0" collapsed="false">
      <c r="A225" s="5" t="s">
        <v>1059</v>
      </c>
      <c r="B225" s="5" t="s">
        <v>52</v>
      </c>
      <c r="C225" s="5" t="s">
        <v>1060</v>
      </c>
      <c r="D225" s="5" t="s">
        <v>1061</v>
      </c>
      <c r="E225" s="5" t="s">
        <v>107</v>
      </c>
      <c r="F225" s="5" t="n">
        <v>115</v>
      </c>
      <c r="G225" s="5" t="s">
        <v>71</v>
      </c>
      <c r="H225" s="5" t="n">
        <v>8</v>
      </c>
      <c r="I225" s="5" t="n">
        <v>21</v>
      </c>
      <c r="J225" s="5"/>
      <c r="K225" s="5" t="n">
        <v>10</v>
      </c>
      <c r="L225" s="5" t="s">
        <v>42</v>
      </c>
      <c r="M225" s="5"/>
      <c r="N225" s="5" t="s">
        <v>43</v>
      </c>
      <c r="O225" s="6" t="n">
        <v>21854.24</v>
      </c>
      <c r="P225" s="5" t="s">
        <v>311</v>
      </c>
      <c r="Q225" s="6" t="n">
        <v>21854.24</v>
      </c>
      <c r="R225" s="5" t="s">
        <v>1062</v>
      </c>
      <c r="S225" s="5"/>
      <c r="T225" s="5" t="s">
        <v>42</v>
      </c>
      <c r="U225" s="5" t="s">
        <v>1063</v>
      </c>
      <c r="V225" s="5" t="n">
        <v>-3.83203</v>
      </c>
      <c r="W225" s="5" t="n">
        <v>-38.56614</v>
      </c>
    </row>
    <row r="226" customFormat="false" ht="23.25" hidden="false" customHeight="true" outlineLevel="0" collapsed="false">
      <c r="A226" s="5" t="s">
        <v>1064</v>
      </c>
      <c r="B226" s="5" t="s">
        <v>52</v>
      </c>
      <c r="C226" s="5" t="s">
        <v>1065</v>
      </c>
      <c r="D226" s="5" t="s">
        <v>1066</v>
      </c>
      <c r="E226" s="5" t="s">
        <v>507</v>
      </c>
      <c r="F226" s="5" t="n">
        <v>20</v>
      </c>
      <c r="G226" s="5" t="s">
        <v>40</v>
      </c>
      <c r="H226" s="5" t="n">
        <v>1</v>
      </c>
      <c r="I226" s="5" t="n">
        <v>2</v>
      </c>
      <c r="J226" s="5"/>
      <c r="K226" s="5" t="n">
        <v>10</v>
      </c>
      <c r="L226" s="5" t="s">
        <v>42</v>
      </c>
      <c r="M226" s="5"/>
      <c r="N226" s="5" t="s">
        <v>43</v>
      </c>
      <c r="O226" s="5"/>
      <c r="P226" s="5"/>
      <c r="Q226" s="6" t="n">
        <v>0</v>
      </c>
      <c r="R226" s="5"/>
      <c r="S226" s="5"/>
      <c r="T226" s="5" t="s">
        <v>42</v>
      </c>
      <c r="U226" s="5" t="s">
        <v>1067</v>
      </c>
      <c r="V226" s="5" t="n">
        <v>-3.724731</v>
      </c>
      <c r="W226" s="5" t="n">
        <v>-38.591454</v>
      </c>
    </row>
    <row r="227" customFormat="false" ht="23.25" hidden="false" customHeight="true" outlineLevel="0" collapsed="false">
      <c r="A227" s="5" t="s">
        <v>1068</v>
      </c>
      <c r="B227" s="5" t="s">
        <v>52</v>
      </c>
      <c r="C227" s="5" t="s">
        <v>1069</v>
      </c>
      <c r="D227" s="5" t="s">
        <v>1070</v>
      </c>
      <c r="E227" s="5" t="s">
        <v>161</v>
      </c>
      <c r="F227" s="5" t="n">
        <v>79</v>
      </c>
      <c r="G227" s="5" t="s">
        <v>64</v>
      </c>
      <c r="H227" s="5" t="n">
        <v>5</v>
      </c>
      <c r="I227" s="5" t="n">
        <v>39</v>
      </c>
      <c r="J227" s="5"/>
      <c r="K227" s="5" t="n">
        <v>10</v>
      </c>
      <c r="L227" s="5" t="s">
        <v>42</v>
      </c>
      <c r="M227" s="5"/>
      <c r="N227" s="5" t="s">
        <v>43</v>
      </c>
      <c r="O227" s="5"/>
      <c r="P227" s="5"/>
      <c r="Q227" s="6" t="n">
        <v>0</v>
      </c>
      <c r="R227" s="5"/>
      <c r="S227" s="5"/>
      <c r="T227" s="5" t="s">
        <v>42</v>
      </c>
      <c r="U227" s="5" t="s">
        <v>1071</v>
      </c>
      <c r="V227" s="5" t="n">
        <v>-3.783498</v>
      </c>
      <c r="W227" s="5" t="n">
        <v>-38.595967</v>
      </c>
    </row>
    <row r="228" customFormat="false" ht="23.25" hidden="false" customHeight="true" outlineLevel="0" collapsed="false">
      <c r="A228" s="5" t="s">
        <v>1072</v>
      </c>
      <c r="B228" s="5" t="s">
        <v>52</v>
      </c>
      <c r="C228" s="5" t="s">
        <v>1073</v>
      </c>
      <c r="D228" s="5" t="s">
        <v>198</v>
      </c>
      <c r="E228" s="5" t="s">
        <v>199</v>
      </c>
      <c r="F228" s="5" t="n">
        <v>39</v>
      </c>
      <c r="G228" s="5" t="s">
        <v>40</v>
      </c>
      <c r="H228" s="5" t="n">
        <v>1</v>
      </c>
      <c r="I228" s="5" t="n">
        <v>2</v>
      </c>
      <c r="J228" s="5"/>
      <c r="K228" s="5" t="n">
        <v>10</v>
      </c>
      <c r="L228" s="5" t="s">
        <v>42</v>
      </c>
      <c r="M228" s="5"/>
      <c r="N228" s="5" t="s">
        <v>43</v>
      </c>
      <c r="O228" s="5"/>
      <c r="P228" s="5"/>
      <c r="Q228" s="6" t="n">
        <v>0</v>
      </c>
      <c r="R228" s="5"/>
      <c r="S228" s="5"/>
      <c r="T228" s="5" t="s">
        <v>42</v>
      </c>
      <c r="U228" s="5" t="s">
        <v>200</v>
      </c>
      <c r="V228" s="5" t="n">
        <v>-3.719869</v>
      </c>
      <c r="W228" s="5" t="n">
        <v>-38.606001</v>
      </c>
    </row>
    <row r="229" customFormat="false" ht="23.25" hidden="false" customHeight="true" outlineLevel="0" collapsed="false">
      <c r="A229" s="5" t="s">
        <v>1074</v>
      </c>
      <c r="B229" s="5" t="s">
        <v>36</v>
      </c>
      <c r="C229" s="5" t="s">
        <v>1075</v>
      </c>
      <c r="D229" s="5" t="s">
        <v>1076</v>
      </c>
      <c r="E229" s="5" t="s">
        <v>1077</v>
      </c>
      <c r="F229" s="5" t="n">
        <v>92</v>
      </c>
      <c r="G229" s="5" t="s">
        <v>71</v>
      </c>
      <c r="H229" s="5" t="n">
        <v>4</v>
      </c>
      <c r="I229" s="5" t="n">
        <v>18</v>
      </c>
      <c r="J229" s="5" t="s">
        <v>619</v>
      </c>
      <c r="K229" s="5" t="n">
        <v>10</v>
      </c>
      <c r="L229" s="5" t="s">
        <v>44</v>
      </c>
      <c r="M229" s="5" t="s">
        <v>385</v>
      </c>
      <c r="N229" s="5" t="s">
        <v>569</v>
      </c>
      <c r="O229" s="5"/>
      <c r="P229" s="5"/>
      <c r="Q229" s="5"/>
      <c r="R229" s="5"/>
      <c r="S229" s="5"/>
      <c r="T229" s="5" t="s">
        <v>44</v>
      </c>
      <c r="U229" s="5" t="s">
        <v>1078</v>
      </c>
      <c r="V229" s="5" t="n">
        <v>-3.7726</v>
      </c>
      <c r="W229" s="5" t="n">
        <v>-38.5283</v>
      </c>
    </row>
    <row r="230" customFormat="false" ht="23.25" hidden="false" customHeight="true" outlineLevel="0" collapsed="false">
      <c r="A230" s="5" t="s">
        <v>1079</v>
      </c>
      <c r="B230" s="5" t="s">
        <v>52</v>
      </c>
      <c r="C230" s="5" t="s">
        <v>1080</v>
      </c>
      <c r="D230" s="5" t="s">
        <v>1081</v>
      </c>
      <c r="E230" s="5" t="s">
        <v>287</v>
      </c>
      <c r="F230" s="5" t="n">
        <v>33</v>
      </c>
      <c r="G230" s="5" t="s">
        <v>96</v>
      </c>
      <c r="H230" s="5" t="n">
        <v>3</v>
      </c>
      <c r="I230" s="5" t="n">
        <v>12</v>
      </c>
      <c r="J230" s="5" t="s">
        <v>41</v>
      </c>
      <c r="K230" s="5" t="n">
        <v>8</v>
      </c>
      <c r="L230" s="5" t="s">
        <v>42</v>
      </c>
      <c r="M230" s="5"/>
      <c r="N230" s="5" t="s">
        <v>822</v>
      </c>
      <c r="O230" s="6" t="n">
        <v>16564.21</v>
      </c>
      <c r="P230" s="5" t="s">
        <v>311</v>
      </c>
      <c r="Q230" s="6" t="n">
        <v>16564.21</v>
      </c>
      <c r="R230" s="5" t="s">
        <v>1082</v>
      </c>
      <c r="S230" s="5"/>
      <c r="T230" s="5" t="s">
        <v>44</v>
      </c>
      <c r="U230" s="5" t="s">
        <v>1083</v>
      </c>
      <c r="V230" s="5" t="n">
        <v>-3.72461</v>
      </c>
      <c r="W230" s="5" t="n">
        <v>-38.568613</v>
      </c>
    </row>
    <row r="231" customFormat="false" ht="23.25" hidden="false" customHeight="true" outlineLevel="0" collapsed="false">
      <c r="A231" s="5" t="s">
        <v>1084</v>
      </c>
      <c r="B231" s="5" t="s">
        <v>52</v>
      </c>
      <c r="C231" s="5" t="s">
        <v>1085</v>
      </c>
      <c r="D231" s="5" t="s">
        <v>1086</v>
      </c>
      <c r="E231" s="5" t="s">
        <v>1087</v>
      </c>
      <c r="F231" s="5" t="n">
        <v>4</v>
      </c>
      <c r="G231" s="5" t="s">
        <v>96</v>
      </c>
      <c r="H231" s="5" t="n">
        <v>3</v>
      </c>
      <c r="I231" s="5" t="n">
        <v>14</v>
      </c>
      <c r="J231" s="5"/>
      <c r="K231" s="5" t="n">
        <v>10</v>
      </c>
      <c r="L231" s="5" t="s">
        <v>42</v>
      </c>
      <c r="M231" s="5"/>
      <c r="N231" s="5" t="s">
        <v>43</v>
      </c>
      <c r="O231" s="5"/>
      <c r="P231" s="5"/>
      <c r="Q231" s="6" t="n">
        <v>0</v>
      </c>
      <c r="R231" s="5"/>
      <c r="S231" s="5"/>
      <c r="T231" s="5" t="s">
        <v>42</v>
      </c>
      <c r="U231" s="5" t="s">
        <v>1088</v>
      </c>
      <c r="V231" s="5" t="n">
        <v>-3.745374</v>
      </c>
      <c r="W231" s="5" t="n">
        <v>-38.560082</v>
      </c>
    </row>
    <row r="232" customFormat="false" ht="23.25" hidden="false" customHeight="true" outlineLevel="0" collapsed="false">
      <c r="A232" s="5" t="s">
        <v>1089</v>
      </c>
      <c r="B232" s="5" t="s">
        <v>52</v>
      </c>
      <c r="C232" s="5" t="s">
        <v>1090</v>
      </c>
      <c r="D232" s="5" t="s">
        <v>1091</v>
      </c>
      <c r="E232" s="5" t="s">
        <v>102</v>
      </c>
      <c r="F232" s="5" t="n">
        <v>48</v>
      </c>
      <c r="G232" s="5" t="s">
        <v>96</v>
      </c>
      <c r="H232" s="5" t="n">
        <v>3</v>
      </c>
      <c r="I232" s="5" t="n">
        <v>11</v>
      </c>
      <c r="J232" s="5" t="s">
        <v>41</v>
      </c>
      <c r="K232" s="5" t="n">
        <v>9</v>
      </c>
      <c r="L232" s="5" t="s">
        <v>42</v>
      </c>
      <c r="M232" s="5"/>
      <c r="N232" s="5" t="s">
        <v>822</v>
      </c>
      <c r="O232" s="6" t="n">
        <v>86429.88</v>
      </c>
      <c r="P232" s="5" t="s">
        <v>311</v>
      </c>
      <c r="Q232" s="6" t="n">
        <v>86429.88</v>
      </c>
      <c r="R232" s="5" t="s">
        <v>1092</v>
      </c>
      <c r="S232" s="5"/>
      <c r="T232" s="5" t="s">
        <v>44</v>
      </c>
      <c r="U232" s="5" t="s">
        <v>1093</v>
      </c>
      <c r="V232" s="5" t="n">
        <v>-3.737295</v>
      </c>
      <c r="W232" s="5" t="n">
        <v>-38.598497</v>
      </c>
    </row>
    <row r="233" customFormat="false" ht="34.5" hidden="false" customHeight="true" outlineLevel="0" collapsed="false">
      <c r="A233" s="5" t="s">
        <v>1094</v>
      </c>
      <c r="B233" s="5" t="s">
        <v>36</v>
      </c>
      <c r="C233" s="5" t="s">
        <v>1095</v>
      </c>
      <c r="D233" s="5" t="s">
        <v>1096</v>
      </c>
      <c r="E233" s="5" t="s">
        <v>859</v>
      </c>
      <c r="F233" s="5" t="n">
        <v>58</v>
      </c>
      <c r="G233" s="5" t="s">
        <v>56</v>
      </c>
      <c r="H233" s="5" t="n">
        <v>7</v>
      </c>
      <c r="I233" s="5" t="n">
        <v>24</v>
      </c>
      <c r="J233" s="5" t="s">
        <v>619</v>
      </c>
      <c r="K233" s="5" t="n">
        <v>10</v>
      </c>
      <c r="L233" s="5" t="s">
        <v>44</v>
      </c>
      <c r="M233" s="5" t="s">
        <v>385</v>
      </c>
      <c r="N233" s="5" t="s">
        <v>569</v>
      </c>
      <c r="O233" s="5"/>
      <c r="P233" s="5"/>
      <c r="Q233" s="5"/>
      <c r="R233" s="5"/>
      <c r="S233" s="5"/>
      <c r="T233" s="5" t="s">
        <v>44</v>
      </c>
      <c r="U233" s="5" t="s">
        <v>1097</v>
      </c>
      <c r="V233" s="5" t="n">
        <v>-3.77243</v>
      </c>
      <c r="W233" s="5" t="n">
        <v>-38.49129</v>
      </c>
    </row>
    <row r="234" customFormat="false" ht="23.25" hidden="false" customHeight="true" outlineLevel="0" collapsed="false">
      <c r="A234" s="5" t="s">
        <v>1098</v>
      </c>
      <c r="B234" s="5" t="s">
        <v>52</v>
      </c>
      <c r="C234" s="5" t="s">
        <v>1099</v>
      </c>
      <c r="D234" s="5" t="s">
        <v>1100</v>
      </c>
      <c r="E234" s="5" t="s">
        <v>507</v>
      </c>
      <c r="F234" s="5" t="n">
        <v>20</v>
      </c>
      <c r="G234" s="5" t="s">
        <v>40</v>
      </c>
      <c r="H234" s="5" t="n">
        <v>1</v>
      </c>
      <c r="I234" s="5" t="n">
        <v>2</v>
      </c>
      <c r="J234" s="5"/>
      <c r="K234" s="5" t="n">
        <v>10</v>
      </c>
      <c r="L234" s="5" t="s">
        <v>42</v>
      </c>
      <c r="M234" s="5"/>
      <c r="N234" s="5" t="s">
        <v>43</v>
      </c>
      <c r="O234" s="5"/>
      <c r="P234" s="5"/>
      <c r="Q234" s="6" t="n">
        <v>0</v>
      </c>
      <c r="R234" s="5"/>
      <c r="S234" s="5"/>
      <c r="T234" s="5" t="s">
        <v>42</v>
      </c>
      <c r="U234" s="5" t="s">
        <v>1101</v>
      </c>
      <c r="V234" s="5" t="n">
        <v>-3.723302</v>
      </c>
      <c r="W234" s="5" t="n">
        <v>-38.588693</v>
      </c>
    </row>
    <row r="235" customFormat="false" ht="23.25" hidden="false" customHeight="true" outlineLevel="0" collapsed="false">
      <c r="A235" s="5" t="s">
        <v>1102</v>
      </c>
      <c r="B235" s="5" t="s">
        <v>36</v>
      </c>
      <c r="C235" s="5" t="s">
        <v>1103</v>
      </c>
      <c r="D235" s="5" t="s">
        <v>1104</v>
      </c>
      <c r="E235" s="5" t="s">
        <v>374</v>
      </c>
      <c r="F235" s="5" t="n">
        <v>61</v>
      </c>
      <c r="G235" s="5" t="s">
        <v>330</v>
      </c>
      <c r="H235" s="5" t="n">
        <v>9</v>
      </c>
      <c r="I235" s="5" t="n">
        <v>32</v>
      </c>
      <c r="J235" s="5" t="s">
        <v>619</v>
      </c>
      <c r="K235" s="5" t="n">
        <v>10</v>
      </c>
      <c r="L235" s="5" t="s">
        <v>44</v>
      </c>
      <c r="M235" s="5" t="s">
        <v>97</v>
      </c>
      <c r="N235" s="5" t="s">
        <v>569</v>
      </c>
      <c r="O235" s="5"/>
      <c r="P235" s="5"/>
      <c r="Q235" s="5"/>
      <c r="R235" s="5"/>
      <c r="S235" s="5"/>
      <c r="T235" s="5" t="s">
        <v>44</v>
      </c>
      <c r="U235" s="5" t="s">
        <v>1105</v>
      </c>
      <c r="V235" s="5" t="n">
        <v>-3.856514</v>
      </c>
      <c r="W235" s="5" t="n">
        <v>-38.510244</v>
      </c>
    </row>
    <row r="236" customFormat="false" ht="23.25" hidden="false" customHeight="true" outlineLevel="0" collapsed="false">
      <c r="A236" s="5" t="s">
        <v>1106</v>
      </c>
      <c r="B236" s="5" t="s">
        <v>52</v>
      </c>
      <c r="C236" s="5" t="s">
        <v>1107</v>
      </c>
      <c r="D236" s="5" t="s">
        <v>1108</v>
      </c>
      <c r="E236" s="5" t="s">
        <v>369</v>
      </c>
      <c r="F236" s="5" t="n">
        <v>74</v>
      </c>
      <c r="G236" s="5" t="s">
        <v>64</v>
      </c>
      <c r="H236" s="5" t="n">
        <v>10</v>
      </c>
      <c r="I236" s="5" t="n">
        <v>34</v>
      </c>
      <c r="J236" s="5"/>
      <c r="K236" s="5" t="n">
        <v>10</v>
      </c>
      <c r="L236" s="5" t="s">
        <v>42</v>
      </c>
      <c r="M236" s="5"/>
      <c r="N236" s="5" t="s">
        <v>43</v>
      </c>
      <c r="O236" s="5"/>
      <c r="P236" s="5"/>
      <c r="Q236" s="6" t="n">
        <v>0</v>
      </c>
      <c r="R236" s="5"/>
      <c r="S236" s="5"/>
      <c r="T236" s="5" t="s">
        <v>42</v>
      </c>
      <c r="U236" s="5" t="s">
        <v>1109</v>
      </c>
      <c r="V236" s="5" t="n">
        <v>-3.80726</v>
      </c>
      <c r="W236" s="5" t="n">
        <v>-38.59743</v>
      </c>
    </row>
    <row r="237" customFormat="false" ht="23.25" hidden="false" customHeight="true" outlineLevel="0" collapsed="false">
      <c r="A237" s="5" t="s">
        <v>1110</v>
      </c>
      <c r="B237" s="5" t="s">
        <v>36</v>
      </c>
      <c r="C237" s="5" t="s">
        <v>1111</v>
      </c>
      <c r="D237" s="5" t="s">
        <v>1112</v>
      </c>
      <c r="E237" s="5" t="s">
        <v>161</v>
      </c>
      <c r="F237" s="5" t="n">
        <v>79</v>
      </c>
      <c r="G237" s="5" t="s">
        <v>64</v>
      </c>
      <c r="H237" s="5" t="n">
        <v>5</v>
      </c>
      <c r="I237" s="5" t="n">
        <v>39</v>
      </c>
      <c r="J237" s="5" t="s">
        <v>619</v>
      </c>
      <c r="K237" s="5" t="n">
        <v>10</v>
      </c>
      <c r="L237" s="5" t="s">
        <v>44</v>
      </c>
      <c r="M237" s="5" t="s">
        <v>97</v>
      </c>
      <c r="N237" s="5" t="s">
        <v>569</v>
      </c>
      <c r="O237" s="5"/>
      <c r="P237" s="5"/>
      <c r="Q237" s="5"/>
      <c r="R237" s="5"/>
      <c r="S237" s="5"/>
      <c r="T237" s="5" t="s">
        <v>44</v>
      </c>
      <c r="U237" s="5" t="s">
        <v>1113</v>
      </c>
      <c r="V237" s="5" t="n">
        <v>-3.786002</v>
      </c>
      <c r="W237" s="5" t="n">
        <v>-38.604877</v>
      </c>
    </row>
    <row r="238" customFormat="false" ht="23.25" hidden="false" customHeight="true" outlineLevel="0" collapsed="false">
      <c r="A238" s="5" t="s">
        <v>1114</v>
      </c>
      <c r="B238" s="5" t="s">
        <v>52</v>
      </c>
      <c r="C238" s="5" t="s">
        <v>1115</v>
      </c>
      <c r="D238" s="5" t="s">
        <v>1116</v>
      </c>
      <c r="E238" s="5" t="s">
        <v>1117</v>
      </c>
      <c r="F238" s="5" t="n">
        <v>82</v>
      </c>
      <c r="G238" s="5" t="s">
        <v>64</v>
      </c>
      <c r="H238" s="5" t="n">
        <v>10</v>
      </c>
      <c r="I238" s="5" t="n">
        <v>35</v>
      </c>
      <c r="J238" s="5"/>
      <c r="K238" s="5" t="n">
        <v>10</v>
      </c>
      <c r="L238" s="5" t="s">
        <v>42</v>
      </c>
      <c r="M238" s="5"/>
      <c r="N238" s="5" t="s">
        <v>43</v>
      </c>
      <c r="O238" s="5"/>
      <c r="P238" s="5"/>
      <c r="Q238" s="6" t="n">
        <v>0</v>
      </c>
      <c r="R238" s="5"/>
      <c r="S238" s="5"/>
      <c r="T238" s="5" t="s">
        <v>42</v>
      </c>
      <c r="U238" s="5" t="s">
        <v>1118</v>
      </c>
      <c r="V238" s="5" t="n">
        <v>-3.795126</v>
      </c>
      <c r="W238" s="5" t="n">
        <v>-38.563711</v>
      </c>
    </row>
    <row r="239" customFormat="false" ht="23.25" hidden="false" customHeight="true" outlineLevel="0" collapsed="false">
      <c r="A239" s="5" t="s">
        <v>1119</v>
      </c>
      <c r="B239" s="5" t="s">
        <v>52</v>
      </c>
      <c r="C239" s="5" t="s">
        <v>1120</v>
      </c>
      <c r="D239" s="5" t="s">
        <v>1121</v>
      </c>
      <c r="E239" s="5" t="s">
        <v>112</v>
      </c>
      <c r="F239" s="5" t="n">
        <v>88</v>
      </c>
      <c r="G239" s="5" t="s">
        <v>71</v>
      </c>
      <c r="H239" s="5" t="n">
        <v>8</v>
      </c>
      <c r="I239" s="5" t="n">
        <v>20</v>
      </c>
      <c r="J239" s="5"/>
      <c r="K239" s="5" t="n">
        <v>10</v>
      </c>
      <c r="L239" s="5" t="s">
        <v>42</v>
      </c>
      <c r="M239" s="5"/>
      <c r="N239" s="5" t="s">
        <v>43</v>
      </c>
      <c r="O239" s="5"/>
      <c r="P239" s="5"/>
      <c r="Q239" s="6" t="n">
        <v>0</v>
      </c>
      <c r="R239" s="5"/>
      <c r="S239" s="5"/>
      <c r="T239" s="5" t="s">
        <v>42</v>
      </c>
      <c r="U239" s="5" t="s">
        <v>1122</v>
      </c>
      <c r="V239" s="5" t="n">
        <v>-3.812617</v>
      </c>
      <c r="W239" s="5" t="n">
        <v>-38.51814</v>
      </c>
    </row>
    <row r="240" customFormat="false" ht="23.25" hidden="false" customHeight="true" outlineLevel="0" collapsed="false">
      <c r="A240" s="5" t="s">
        <v>1123</v>
      </c>
      <c r="B240" s="5" t="s">
        <v>36</v>
      </c>
      <c r="C240" s="5" t="s">
        <v>1124</v>
      </c>
      <c r="D240" s="5" t="s">
        <v>1125</v>
      </c>
      <c r="E240" s="5" t="s">
        <v>356</v>
      </c>
      <c r="F240" s="5" t="n">
        <v>117</v>
      </c>
      <c r="G240" s="5" t="s">
        <v>330</v>
      </c>
      <c r="H240" s="5" t="n">
        <v>9</v>
      </c>
      <c r="I240" s="5" t="n">
        <v>32</v>
      </c>
      <c r="J240" s="5"/>
      <c r="K240" s="5" t="n">
        <v>10</v>
      </c>
      <c r="L240" s="5" t="s">
        <v>42</v>
      </c>
      <c r="M240" s="5"/>
      <c r="N240" s="5" t="s">
        <v>43</v>
      </c>
      <c r="O240" s="5"/>
      <c r="P240" s="5"/>
      <c r="Q240" s="6" t="n">
        <v>0</v>
      </c>
      <c r="R240" s="5"/>
      <c r="S240" s="5"/>
      <c r="T240" s="5" t="s">
        <v>42</v>
      </c>
      <c r="U240" s="5" t="s">
        <v>1126</v>
      </c>
      <c r="V240" s="5" t="n">
        <v>-3.84603</v>
      </c>
      <c r="W240" s="5" t="n">
        <v>-38.523572</v>
      </c>
    </row>
    <row r="241" customFormat="false" ht="23.25" hidden="false" customHeight="true" outlineLevel="0" collapsed="false">
      <c r="A241" s="5" t="s">
        <v>1127</v>
      </c>
      <c r="B241" s="5" t="s">
        <v>52</v>
      </c>
      <c r="C241" s="5" t="s">
        <v>1128</v>
      </c>
      <c r="D241" s="5" t="s">
        <v>1129</v>
      </c>
      <c r="E241" s="5" t="s">
        <v>70</v>
      </c>
      <c r="F241" s="5" t="n">
        <v>89</v>
      </c>
      <c r="G241" s="5" t="s">
        <v>71</v>
      </c>
      <c r="H241" s="5" t="n">
        <v>8</v>
      </c>
      <c r="I241" s="5" t="n">
        <v>21</v>
      </c>
      <c r="J241" s="5"/>
      <c r="K241" s="5" t="n">
        <v>10</v>
      </c>
      <c r="L241" s="5" t="s">
        <v>42</v>
      </c>
      <c r="M241" s="5"/>
      <c r="N241" s="5" t="s">
        <v>43</v>
      </c>
      <c r="O241" s="5"/>
      <c r="P241" s="5"/>
      <c r="Q241" s="6" t="n">
        <v>0</v>
      </c>
      <c r="R241" s="5"/>
      <c r="S241" s="5"/>
      <c r="T241" s="5" t="s">
        <v>42</v>
      </c>
      <c r="U241" s="5" t="s">
        <v>1130</v>
      </c>
      <c r="V241" s="5" t="n">
        <v>-3.829418</v>
      </c>
      <c r="W241" s="5" t="n">
        <v>-38.555419</v>
      </c>
    </row>
    <row r="242" customFormat="false" ht="23.25" hidden="false" customHeight="true" outlineLevel="0" collapsed="false">
      <c r="A242" s="5" t="s">
        <v>1131</v>
      </c>
      <c r="B242" s="5" t="s">
        <v>36</v>
      </c>
      <c r="C242" s="5" t="s">
        <v>1132</v>
      </c>
      <c r="D242" s="5" t="s">
        <v>1133</v>
      </c>
      <c r="E242" s="5" t="s">
        <v>522</v>
      </c>
      <c r="F242" s="5" t="n">
        <v>90</v>
      </c>
      <c r="G242" s="5" t="s">
        <v>64</v>
      </c>
      <c r="H242" s="5" t="n">
        <v>5</v>
      </c>
      <c r="I242" s="5" t="n">
        <v>39</v>
      </c>
      <c r="J242" s="5" t="s">
        <v>41</v>
      </c>
      <c r="K242" s="5" t="n">
        <v>10</v>
      </c>
      <c r="L242" s="5" t="s">
        <v>42</v>
      </c>
      <c r="M242" s="5"/>
      <c r="N242" s="5" t="s">
        <v>822</v>
      </c>
      <c r="O242" s="6" t="n">
        <v>41370.33</v>
      </c>
      <c r="P242" s="5" t="s">
        <v>311</v>
      </c>
      <c r="Q242" s="6" t="n">
        <v>41370.33</v>
      </c>
      <c r="R242" s="5" t="s">
        <v>1134</v>
      </c>
      <c r="S242" s="5"/>
      <c r="T242" s="5" t="s">
        <v>44</v>
      </c>
      <c r="U242" s="5" t="s">
        <v>1135</v>
      </c>
      <c r="V242" s="5" t="n">
        <v>-3.804506</v>
      </c>
      <c r="W242" s="5" t="n">
        <v>-38.611813</v>
      </c>
    </row>
    <row r="243" customFormat="false" ht="23.25" hidden="false" customHeight="true" outlineLevel="0" collapsed="false">
      <c r="A243" s="5" t="s">
        <v>1136</v>
      </c>
      <c r="B243" s="5" t="s">
        <v>36</v>
      </c>
      <c r="C243" s="5" t="s">
        <v>1137</v>
      </c>
      <c r="D243" s="5" t="s">
        <v>1138</v>
      </c>
      <c r="E243" s="5" t="s">
        <v>793</v>
      </c>
      <c r="F243" s="5" t="n">
        <v>110</v>
      </c>
      <c r="G243" s="5" t="s">
        <v>56</v>
      </c>
      <c r="H243" s="5" t="n">
        <v>2</v>
      </c>
      <c r="I243" s="5" t="n">
        <v>9</v>
      </c>
      <c r="J243" s="5" t="s">
        <v>619</v>
      </c>
      <c r="K243" s="5" t="n">
        <v>10</v>
      </c>
      <c r="L243" s="5" t="s">
        <v>44</v>
      </c>
      <c r="M243" s="5" t="s">
        <v>97</v>
      </c>
      <c r="N243" s="5" t="s">
        <v>569</v>
      </c>
      <c r="O243" s="5"/>
      <c r="P243" s="5"/>
      <c r="Q243" s="5"/>
      <c r="R243" s="5"/>
      <c r="S243" s="5"/>
      <c r="T243" s="5" t="s">
        <v>44</v>
      </c>
      <c r="U243" s="5" t="s">
        <v>1139</v>
      </c>
      <c r="V243" s="5" t="n">
        <v>-3.714313</v>
      </c>
      <c r="W243" s="5" t="n">
        <v>-38.466327</v>
      </c>
    </row>
    <row r="244" customFormat="false" ht="23.25" hidden="false" customHeight="true" outlineLevel="0" collapsed="false">
      <c r="A244" s="5" t="s">
        <v>1140</v>
      </c>
      <c r="B244" s="5" t="s">
        <v>36</v>
      </c>
      <c r="C244" s="5" t="s">
        <v>1141</v>
      </c>
      <c r="D244" s="5" t="s">
        <v>1142</v>
      </c>
      <c r="E244" s="5" t="s">
        <v>166</v>
      </c>
      <c r="F244" s="5" t="n">
        <v>84</v>
      </c>
      <c r="G244" s="5" t="s">
        <v>71</v>
      </c>
      <c r="H244" s="5" t="n">
        <v>8</v>
      </c>
      <c r="I244" s="5" t="n">
        <v>20</v>
      </c>
      <c r="J244" s="5" t="s">
        <v>619</v>
      </c>
      <c r="K244" s="5" t="n">
        <v>10</v>
      </c>
      <c r="L244" s="5" t="s">
        <v>44</v>
      </c>
      <c r="M244" s="5" t="s">
        <v>385</v>
      </c>
      <c r="N244" s="5" t="s">
        <v>569</v>
      </c>
      <c r="O244" s="5"/>
      <c r="P244" s="5"/>
      <c r="Q244" s="5"/>
      <c r="R244" s="5"/>
      <c r="S244" s="5"/>
      <c r="T244" s="5" t="s">
        <v>44</v>
      </c>
      <c r="U244" s="5" t="s">
        <v>1143</v>
      </c>
      <c r="V244" s="5" t="n">
        <v>-3.799259</v>
      </c>
      <c r="W244" s="5" t="n">
        <v>-38.548491</v>
      </c>
    </row>
    <row r="245" customFormat="false" ht="23.25" hidden="false" customHeight="true" outlineLevel="0" collapsed="false">
      <c r="A245" s="5" t="s">
        <v>1144</v>
      </c>
      <c r="B245" s="5" t="s">
        <v>36</v>
      </c>
      <c r="C245" s="5" t="s">
        <v>1145</v>
      </c>
      <c r="D245" s="5" t="s">
        <v>1146</v>
      </c>
      <c r="E245" s="5" t="s">
        <v>272</v>
      </c>
      <c r="F245" s="5" t="n">
        <v>45</v>
      </c>
      <c r="G245" s="5" t="s">
        <v>96</v>
      </c>
      <c r="H245" s="5" t="n">
        <v>11</v>
      </c>
      <c r="I245" s="5" t="n">
        <v>37</v>
      </c>
      <c r="J245" s="5" t="s">
        <v>619</v>
      </c>
      <c r="K245" s="5" t="n">
        <v>10</v>
      </c>
      <c r="L245" s="5" t="s">
        <v>44</v>
      </c>
      <c r="M245" s="5" t="s">
        <v>97</v>
      </c>
      <c r="N245" s="5" t="s">
        <v>569</v>
      </c>
      <c r="O245" s="5"/>
      <c r="P245" s="5"/>
      <c r="Q245" s="5"/>
      <c r="R245" s="5"/>
      <c r="S245" s="5"/>
      <c r="T245" s="5" t="s">
        <v>44</v>
      </c>
      <c r="U245" s="5" t="s">
        <v>1147</v>
      </c>
      <c r="V245" s="5" t="n">
        <v>-3.759826</v>
      </c>
      <c r="W245" s="5" t="n">
        <v>-38.583461</v>
      </c>
    </row>
    <row r="246" customFormat="false" ht="23.25" hidden="false" customHeight="true" outlineLevel="0" collapsed="false">
      <c r="A246" s="5" t="s">
        <v>1148</v>
      </c>
      <c r="B246" s="5" t="s">
        <v>36</v>
      </c>
      <c r="C246" s="5" t="s">
        <v>1149</v>
      </c>
      <c r="D246" s="5" t="s">
        <v>1150</v>
      </c>
      <c r="E246" s="5" t="s">
        <v>70</v>
      </c>
      <c r="F246" s="5" t="n">
        <v>89</v>
      </c>
      <c r="G246" s="5" t="s">
        <v>71</v>
      </c>
      <c r="H246" s="5" t="n">
        <v>8</v>
      </c>
      <c r="I246" s="5" t="n">
        <v>21</v>
      </c>
      <c r="J246" s="5" t="s">
        <v>619</v>
      </c>
      <c r="K246" s="5" t="n">
        <v>10</v>
      </c>
      <c r="L246" s="5" t="s">
        <v>44</v>
      </c>
      <c r="M246" s="5" t="s">
        <v>97</v>
      </c>
      <c r="N246" s="5" t="s">
        <v>569</v>
      </c>
      <c r="O246" s="5"/>
      <c r="P246" s="5"/>
      <c r="Q246" s="5"/>
      <c r="R246" s="5"/>
      <c r="S246" s="5"/>
      <c r="T246" s="5" t="s">
        <v>44</v>
      </c>
      <c r="U246" s="5" t="s">
        <v>1151</v>
      </c>
      <c r="V246" s="5" t="n">
        <v>-3.828652</v>
      </c>
      <c r="W246" s="5" t="n">
        <v>-38.544982</v>
      </c>
    </row>
    <row r="247" customFormat="false" ht="34.5" hidden="false" customHeight="true" outlineLevel="0" collapsed="false">
      <c r="A247" s="5" t="s">
        <v>1152</v>
      </c>
      <c r="B247" s="5" t="s">
        <v>36</v>
      </c>
      <c r="C247" s="5" t="s">
        <v>1153</v>
      </c>
      <c r="D247" s="5" t="s">
        <v>1154</v>
      </c>
      <c r="E247" s="5" t="s">
        <v>70</v>
      </c>
      <c r="F247" s="5" t="n">
        <v>89</v>
      </c>
      <c r="G247" s="5" t="s">
        <v>71</v>
      </c>
      <c r="H247" s="5" t="n">
        <v>8</v>
      </c>
      <c r="I247" s="5" t="n">
        <v>21</v>
      </c>
      <c r="J247" s="5" t="s">
        <v>619</v>
      </c>
      <c r="K247" s="5" t="n">
        <v>10</v>
      </c>
      <c r="L247" s="5" t="s">
        <v>44</v>
      </c>
      <c r="M247" s="5" t="s">
        <v>97</v>
      </c>
      <c r="N247" s="5" t="s">
        <v>569</v>
      </c>
      <c r="O247" s="5"/>
      <c r="P247" s="5"/>
      <c r="Q247" s="5"/>
      <c r="R247" s="5"/>
      <c r="S247" s="5"/>
      <c r="T247" s="5" t="s">
        <v>44</v>
      </c>
      <c r="U247" s="5" t="s">
        <v>1155</v>
      </c>
      <c r="V247" s="5" t="n">
        <v>-3.847468</v>
      </c>
      <c r="W247" s="5" t="n">
        <v>-38.55418</v>
      </c>
    </row>
    <row r="248" customFormat="false" ht="23.25" hidden="false" customHeight="true" outlineLevel="0" collapsed="false">
      <c r="A248" s="5" t="s">
        <v>1156</v>
      </c>
      <c r="B248" s="5" t="s">
        <v>36</v>
      </c>
      <c r="C248" s="5" t="s">
        <v>1157</v>
      </c>
      <c r="D248" s="5" t="s">
        <v>1158</v>
      </c>
      <c r="E248" s="5" t="s">
        <v>374</v>
      </c>
      <c r="F248" s="5" t="n">
        <v>61</v>
      </c>
      <c r="G248" s="5" t="s">
        <v>330</v>
      </c>
      <c r="H248" s="5" t="n">
        <v>9</v>
      </c>
      <c r="I248" s="5" t="n">
        <v>32</v>
      </c>
      <c r="J248" s="5" t="s">
        <v>619</v>
      </c>
      <c r="K248" s="5" t="n">
        <v>10</v>
      </c>
      <c r="L248" s="5" t="s">
        <v>44</v>
      </c>
      <c r="M248" s="5" t="s">
        <v>97</v>
      </c>
      <c r="N248" s="5" t="s">
        <v>569</v>
      </c>
      <c r="O248" s="5"/>
      <c r="P248" s="5"/>
      <c r="Q248" s="5"/>
      <c r="R248" s="5"/>
      <c r="S248" s="5"/>
      <c r="T248" s="5" t="s">
        <v>44</v>
      </c>
      <c r="U248" s="5" t="s">
        <v>1159</v>
      </c>
      <c r="V248" s="5" t="n">
        <v>-3.858769</v>
      </c>
      <c r="W248" s="5" t="n">
        <v>-38.515268</v>
      </c>
    </row>
    <row r="249" customFormat="false" ht="23.25" hidden="false" customHeight="true" outlineLevel="0" collapsed="false">
      <c r="A249" s="5" t="s">
        <v>1160</v>
      </c>
      <c r="B249" s="5" t="s">
        <v>36</v>
      </c>
      <c r="C249" s="5" t="s">
        <v>1161</v>
      </c>
      <c r="D249" s="5" t="s">
        <v>1162</v>
      </c>
      <c r="E249" s="5" t="s">
        <v>1163</v>
      </c>
      <c r="F249" s="5" t="n">
        <v>111</v>
      </c>
      <c r="G249" s="5" t="s">
        <v>56</v>
      </c>
      <c r="H249" s="5" t="n">
        <v>7</v>
      </c>
      <c r="I249" s="5" t="n">
        <v>23</v>
      </c>
      <c r="J249" s="5" t="s">
        <v>619</v>
      </c>
      <c r="K249" s="5" t="n">
        <v>10</v>
      </c>
      <c r="L249" s="5" t="s">
        <v>44</v>
      </c>
      <c r="M249" s="5" t="s">
        <v>385</v>
      </c>
      <c r="N249" s="5" t="s">
        <v>569</v>
      </c>
      <c r="O249" s="5"/>
      <c r="P249" s="5"/>
      <c r="Q249" s="5"/>
      <c r="R249" s="5"/>
      <c r="S249" s="5"/>
      <c r="T249" s="5" t="s">
        <v>44</v>
      </c>
      <c r="U249" s="5" t="s">
        <v>1164</v>
      </c>
      <c r="V249" s="5" t="n">
        <v>-3.752845</v>
      </c>
      <c r="W249" s="5" t="n">
        <v>-38.47289</v>
      </c>
    </row>
    <row r="250" customFormat="false" ht="23.25" hidden="false" customHeight="true" outlineLevel="0" collapsed="false">
      <c r="A250" s="5" t="s">
        <v>1165</v>
      </c>
      <c r="B250" s="5" t="s">
        <v>36</v>
      </c>
      <c r="C250" s="5" t="s">
        <v>1166</v>
      </c>
      <c r="D250" s="5" t="s">
        <v>1167</v>
      </c>
      <c r="E250" s="5" t="s">
        <v>802</v>
      </c>
      <c r="F250" s="5" t="n">
        <v>34</v>
      </c>
      <c r="G250" s="5" t="s">
        <v>96</v>
      </c>
      <c r="H250" s="5" t="n">
        <v>3</v>
      </c>
      <c r="I250" s="5" t="n">
        <v>14</v>
      </c>
      <c r="J250" s="5" t="s">
        <v>568</v>
      </c>
      <c r="K250" s="5" t="n">
        <v>11</v>
      </c>
      <c r="L250" s="5" t="s">
        <v>44</v>
      </c>
      <c r="M250" s="5" t="s">
        <v>97</v>
      </c>
      <c r="N250" s="5" t="s">
        <v>569</v>
      </c>
      <c r="O250" s="5"/>
      <c r="P250" s="5"/>
      <c r="Q250" s="5"/>
      <c r="R250" s="5"/>
      <c r="S250" s="5"/>
      <c r="T250" s="5" t="s">
        <v>42</v>
      </c>
      <c r="U250" s="5" t="s">
        <v>1168</v>
      </c>
      <c r="V250" s="5" t="n">
        <v>-3.745273</v>
      </c>
      <c r="W250" s="5" t="n">
        <v>-38.554139</v>
      </c>
    </row>
    <row r="251" customFormat="false" ht="23.25" hidden="false" customHeight="true" outlineLevel="0" collapsed="false">
      <c r="A251" s="5" t="s">
        <v>1169</v>
      </c>
      <c r="B251" s="5" t="s">
        <v>52</v>
      </c>
      <c r="C251" s="5" t="s">
        <v>1170</v>
      </c>
      <c r="D251" s="5" t="s">
        <v>1171</v>
      </c>
      <c r="E251" s="5" t="s">
        <v>384</v>
      </c>
      <c r="F251" s="5" t="n">
        <v>94</v>
      </c>
      <c r="G251" s="5" t="s">
        <v>96</v>
      </c>
      <c r="H251" s="5" t="n">
        <v>11</v>
      </c>
      <c r="I251" s="5" t="n">
        <v>36</v>
      </c>
      <c r="J251" s="5" t="s">
        <v>619</v>
      </c>
      <c r="K251" s="5" t="n">
        <v>10</v>
      </c>
      <c r="L251" s="5" t="s">
        <v>42</v>
      </c>
      <c r="M251" s="5"/>
      <c r="N251" s="5" t="s">
        <v>569</v>
      </c>
      <c r="O251" s="5"/>
      <c r="P251" s="5"/>
      <c r="Q251" s="5"/>
      <c r="R251" s="5"/>
      <c r="S251" s="5"/>
      <c r="T251" s="5" t="s">
        <v>44</v>
      </c>
      <c r="U251" s="5" t="s">
        <v>1172</v>
      </c>
      <c r="V251" s="5" t="n">
        <v>-3.749468</v>
      </c>
      <c r="W251" s="5" t="n">
        <v>-38.562366</v>
      </c>
    </row>
    <row r="252" customFormat="false" ht="23.25" hidden="false" customHeight="true" outlineLevel="0" collapsed="false">
      <c r="A252" s="5" t="s">
        <v>1173</v>
      </c>
      <c r="B252" s="5" t="s">
        <v>275</v>
      </c>
      <c r="C252" s="5" t="s">
        <v>1174</v>
      </c>
      <c r="D252" s="5" t="s">
        <v>1175</v>
      </c>
      <c r="E252" s="5" t="s">
        <v>663</v>
      </c>
      <c r="F252" s="5" t="n">
        <v>42</v>
      </c>
      <c r="G252" s="5" t="s">
        <v>96</v>
      </c>
      <c r="H252" s="5" t="n">
        <v>11</v>
      </c>
      <c r="I252" s="5" t="n">
        <v>38</v>
      </c>
      <c r="J252" s="5" t="s">
        <v>568</v>
      </c>
      <c r="K252" s="5" t="n">
        <v>12</v>
      </c>
      <c r="L252" s="5" t="s">
        <v>44</v>
      </c>
      <c r="M252" s="5" t="s">
        <v>733</v>
      </c>
      <c r="N252" s="5" t="s">
        <v>569</v>
      </c>
      <c r="O252" s="5"/>
      <c r="P252" s="5"/>
      <c r="Q252" s="5"/>
      <c r="R252" s="5"/>
      <c r="S252" s="5"/>
      <c r="T252" s="5" t="s">
        <v>42</v>
      </c>
      <c r="U252" s="5" t="s">
        <v>1176</v>
      </c>
      <c r="V252" s="5" t="n">
        <v>-3.766722</v>
      </c>
      <c r="W252" s="5" t="n">
        <v>-38.604123</v>
      </c>
    </row>
    <row r="253" customFormat="false" ht="23.25" hidden="false" customHeight="true" outlineLevel="0" collapsed="false">
      <c r="A253" s="5" t="s">
        <v>1177</v>
      </c>
      <c r="B253" s="5" t="s">
        <v>275</v>
      </c>
      <c r="C253" s="5" t="s">
        <v>1178</v>
      </c>
      <c r="D253" s="5" t="s">
        <v>1179</v>
      </c>
      <c r="E253" s="5" t="s">
        <v>553</v>
      </c>
      <c r="F253" s="5" t="n">
        <v>41</v>
      </c>
      <c r="G253" s="5" t="s">
        <v>96</v>
      </c>
      <c r="H253" s="5" t="n">
        <v>11</v>
      </c>
      <c r="I253" s="5" t="n">
        <v>37</v>
      </c>
      <c r="J253" s="5" t="s">
        <v>568</v>
      </c>
      <c r="K253" s="5" t="n">
        <v>12</v>
      </c>
      <c r="L253" s="5" t="s">
        <v>44</v>
      </c>
      <c r="M253" s="5" t="s">
        <v>733</v>
      </c>
      <c r="N253" s="5" t="s">
        <v>569</v>
      </c>
      <c r="O253" s="5"/>
      <c r="P253" s="5"/>
      <c r="Q253" s="5"/>
      <c r="R253" s="5"/>
      <c r="S253" s="5"/>
      <c r="T253" s="5" t="s">
        <v>42</v>
      </c>
      <c r="U253" s="5" t="s">
        <v>1180</v>
      </c>
      <c r="V253" s="5" t="n">
        <v>-3.754029</v>
      </c>
      <c r="W253" s="5" t="n">
        <v>-38.595328</v>
      </c>
    </row>
    <row r="254" customFormat="false" ht="23.25" hidden="false" customHeight="true" outlineLevel="0" collapsed="false">
      <c r="A254" s="5" t="s">
        <v>1181</v>
      </c>
      <c r="B254" s="5" t="s">
        <v>275</v>
      </c>
      <c r="C254" s="5" t="s">
        <v>1182</v>
      </c>
      <c r="D254" s="5" t="s">
        <v>1183</v>
      </c>
      <c r="E254" s="5" t="s">
        <v>204</v>
      </c>
      <c r="F254" s="5" t="n">
        <v>40</v>
      </c>
      <c r="G254" s="5" t="s">
        <v>96</v>
      </c>
      <c r="H254" s="5" t="n">
        <v>3</v>
      </c>
      <c r="I254" s="5" t="n">
        <v>11</v>
      </c>
      <c r="J254" s="5" t="s">
        <v>568</v>
      </c>
      <c r="K254" s="5" t="n">
        <v>12</v>
      </c>
      <c r="L254" s="5" t="s">
        <v>44</v>
      </c>
      <c r="M254" s="5" t="s">
        <v>733</v>
      </c>
      <c r="N254" s="5" t="s">
        <v>569</v>
      </c>
      <c r="O254" s="5"/>
      <c r="P254" s="5"/>
      <c r="Q254" s="5"/>
      <c r="R254" s="5"/>
      <c r="S254" s="5"/>
      <c r="T254" s="5" t="s">
        <v>42</v>
      </c>
      <c r="U254" s="5" t="s">
        <v>1184</v>
      </c>
      <c r="V254" s="5" t="n">
        <v>-3.738321</v>
      </c>
      <c r="W254" s="5" t="n">
        <v>-38.595177</v>
      </c>
    </row>
    <row r="255" customFormat="false" ht="23.25" hidden="false" customHeight="true" outlineLevel="0" collapsed="false">
      <c r="A255" s="5" t="s">
        <v>1185</v>
      </c>
      <c r="B255" s="5" t="s">
        <v>52</v>
      </c>
      <c r="C255" s="5" t="s">
        <v>1186</v>
      </c>
      <c r="D255" s="5" t="s">
        <v>1187</v>
      </c>
      <c r="E255" s="5" t="s">
        <v>384</v>
      </c>
      <c r="F255" s="5" t="n">
        <v>94</v>
      </c>
      <c r="G255" s="5" t="s">
        <v>96</v>
      </c>
      <c r="H255" s="5" t="n">
        <v>11</v>
      </c>
      <c r="I255" s="5" t="n">
        <v>36</v>
      </c>
      <c r="J255" s="5" t="s">
        <v>41</v>
      </c>
      <c r="K255" s="5" t="n">
        <v>10</v>
      </c>
      <c r="L255" s="5" t="s">
        <v>42</v>
      </c>
      <c r="M255" s="5"/>
      <c r="N255" s="5" t="s">
        <v>822</v>
      </c>
      <c r="O255" s="6" t="n">
        <v>64818</v>
      </c>
      <c r="P255" s="5" t="s">
        <v>311</v>
      </c>
      <c r="Q255" s="6" t="n">
        <v>64818</v>
      </c>
      <c r="R255" s="5" t="s">
        <v>1188</v>
      </c>
      <c r="S255" s="5"/>
      <c r="T255" s="5" t="s">
        <v>44</v>
      </c>
      <c r="U255" s="5" t="s">
        <v>1189</v>
      </c>
      <c r="V255" s="5" t="n">
        <v>-3.749268</v>
      </c>
      <c r="W255" s="5" t="n">
        <v>-38.561723</v>
      </c>
    </row>
    <row r="256" customFormat="false" ht="23.25" hidden="false" customHeight="true" outlineLevel="0" collapsed="false">
      <c r="A256" s="5" t="s">
        <v>1190</v>
      </c>
      <c r="B256" s="5" t="s">
        <v>36</v>
      </c>
      <c r="C256" s="5" t="s">
        <v>1191</v>
      </c>
      <c r="D256" s="5" t="s">
        <v>1192</v>
      </c>
      <c r="E256" s="5" t="s">
        <v>663</v>
      </c>
      <c r="F256" s="5" t="n">
        <v>42</v>
      </c>
      <c r="G256" s="5" t="s">
        <v>96</v>
      </c>
      <c r="H256" s="5" t="n">
        <v>11</v>
      </c>
      <c r="I256" s="5" t="n">
        <v>38</v>
      </c>
      <c r="J256" s="5" t="s">
        <v>619</v>
      </c>
      <c r="K256" s="5" t="n">
        <v>10</v>
      </c>
      <c r="L256" s="5" t="s">
        <v>42</v>
      </c>
      <c r="M256" s="5"/>
      <c r="N256" s="5" t="s">
        <v>569</v>
      </c>
      <c r="O256" s="5"/>
      <c r="P256" s="5"/>
      <c r="Q256" s="5"/>
      <c r="R256" s="5"/>
      <c r="S256" s="5"/>
      <c r="T256" s="5" t="s">
        <v>44</v>
      </c>
      <c r="U256" s="5" t="s">
        <v>1193</v>
      </c>
      <c r="V256" s="5" t="n">
        <v>-3.766692</v>
      </c>
      <c r="W256" s="5" t="n">
        <v>-38.605845</v>
      </c>
    </row>
    <row r="257" customFormat="false" ht="23.25" hidden="false" customHeight="true" outlineLevel="0" collapsed="false">
      <c r="A257" s="5" t="s">
        <v>1194</v>
      </c>
      <c r="B257" s="5" t="s">
        <v>36</v>
      </c>
      <c r="C257" s="5" t="s">
        <v>1195</v>
      </c>
      <c r="D257" s="5" t="s">
        <v>1196</v>
      </c>
      <c r="E257" s="5" t="s">
        <v>241</v>
      </c>
      <c r="F257" s="5" t="n">
        <v>105</v>
      </c>
      <c r="G257" s="5" t="s">
        <v>71</v>
      </c>
      <c r="H257" s="5" t="n">
        <v>4</v>
      </c>
      <c r="I257" s="5" t="n">
        <v>17</v>
      </c>
      <c r="J257" s="5" t="s">
        <v>619</v>
      </c>
      <c r="K257" s="5" t="n">
        <v>10</v>
      </c>
      <c r="L257" s="5" t="s">
        <v>42</v>
      </c>
      <c r="M257" s="5"/>
      <c r="N257" s="5" t="s">
        <v>569</v>
      </c>
      <c r="O257" s="5"/>
      <c r="P257" s="5"/>
      <c r="Q257" s="5"/>
      <c r="R257" s="5"/>
      <c r="S257" s="5"/>
      <c r="T257" s="5" t="s">
        <v>44</v>
      </c>
      <c r="U257" s="5" t="s">
        <v>1197</v>
      </c>
      <c r="V257" s="5" t="n">
        <v>-3.780895</v>
      </c>
      <c r="W257" s="5" t="n">
        <v>-38.57268</v>
      </c>
    </row>
    <row r="258" customFormat="false" ht="23.25" hidden="false" customHeight="true" outlineLevel="0" collapsed="false">
      <c r="A258" s="5" t="s">
        <v>1198</v>
      </c>
      <c r="B258" s="5" t="s">
        <v>36</v>
      </c>
      <c r="C258" s="5" t="s">
        <v>1199</v>
      </c>
      <c r="D258" s="5" t="s">
        <v>1200</v>
      </c>
      <c r="E258" s="5" t="s">
        <v>553</v>
      </c>
      <c r="F258" s="5" t="n">
        <v>41</v>
      </c>
      <c r="G258" s="5" t="s">
        <v>96</v>
      </c>
      <c r="H258" s="5" t="n">
        <v>11</v>
      </c>
      <c r="I258" s="5" t="n">
        <v>37</v>
      </c>
      <c r="J258" s="5" t="s">
        <v>619</v>
      </c>
      <c r="K258" s="5" t="n">
        <v>10</v>
      </c>
      <c r="L258" s="5" t="s">
        <v>42</v>
      </c>
      <c r="M258" s="5"/>
      <c r="N258" s="5" t="s">
        <v>569</v>
      </c>
      <c r="O258" s="5"/>
      <c r="P258" s="5"/>
      <c r="Q258" s="5"/>
      <c r="R258" s="5"/>
      <c r="S258" s="5"/>
      <c r="T258" s="5" t="s">
        <v>44</v>
      </c>
      <c r="U258" s="5" t="s">
        <v>1201</v>
      </c>
      <c r="V258" s="5" t="n">
        <v>-3.75501</v>
      </c>
      <c r="W258" s="5" t="n">
        <v>-38.595401</v>
      </c>
    </row>
    <row r="259" customFormat="false" ht="23.25" hidden="false" customHeight="true" outlineLevel="0" collapsed="false">
      <c r="A259" s="5" t="s">
        <v>1202</v>
      </c>
      <c r="B259" s="5" t="s">
        <v>36</v>
      </c>
      <c r="C259" s="5" t="s">
        <v>1203</v>
      </c>
      <c r="D259" s="5" t="s">
        <v>1204</v>
      </c>
      <c r="E259" s="5" t="s">
        <v>522</v>
      </c>
      <c r="F259" s="5" t="n">
        <v>90</v>
      </c>
      <c r="G259" s="5" t="s">
        <v>64</v>
      </c>
      <c r="H259" s="5" t="n">
        <v>5</v>
      </c>
      <c r="I259" s="5" t="n">
        <v>39</v>
      </c>
      <c r="J259" s="5" t="s">
        <v>619</v>
      </c>
      <c r="K259" s="5" t="n">
        <v>11</v>
      </c>
      <c r="L259" s="5" t="s">
        <v>44</v>
      </c>
      <c r="M259" s="5" t="s">
        <v>385</v>
      </c>
      <c r="N259" s="5" t="s">
        <v>569</v>
      </c>
      <c r="O259" s="5"/>
      <c r="P259" s="5"/>
      <c r="Q259" s="5"/>
      <c r="R259" s="5"/>
      <c r="S259" s="5"/>
      <c r="T259" s="5" t="s">
        <v>44</v>
      </c>
      <c r="U259" s="5" t="s">
        <v>1205</v>
      </c>
      <c r="V259" s="5" t="n">
        <v>-3.815157</v>
      </c>
      <c r="W259" s="5" t="n">
        <v>-38.616052</v>
      </c>
    </row>
    <row r="260" customFormat="false" ht="23.25" hidden="false" customHeight="true" outlineLevel="0" collapsed="false">
      <c r="A260" s="5" t="s">
        <v>1206</v>
      </c>
      <c r="B260" s="5" t="s">
        <v>36</v>
      </c>
      <c r="C260" s="5" t="s">
        <v>1207</v>
      </c>
      <c r="D260" s="5" t="s">
        <v>1208</v>
      </c>
      <c r="E260" s="5" t="s">
        <v>81</v>
      </c>
      <c r="F260" s="5" t="n">
        <v>78</v>
      </c>
      <c r="G260" s="5" t="s">
        <v>64</v>
      </c>
      <c r="H260" s="5" t="n">
        <v>5</v>
      </c>
      <c r="I260" s="5" t="n">
        <v>39</v>
      </c>
      <c r="J260" s="5" t="s">
        <v>619</v>
      </c>
      <c r="K260" s="5" t="n">
        <v>11</v>
      </c>
      <c r="L260" s="5" t="s">
        <v>44</v>
      </c>
      <c r="M260" s="5" t="s">
        <v>385</v>
      </c>
      <c r="N260" s="5" t="s">
        <v>569</v>
      </c>
      <c r="O260" s="5"/>
      <c r="P260" s="5"/>
      <c r="Q260" s="5"/>
      <c r="R260" s="5"/>
      <c r="S260" s="5"/>
      <c r="T260" s="5" t="s">
        <v>44</v>
      </c>
      <c r="U260" s="5" t="s">
        <v>1209</v>
      </c>
      <c r="V260" s="5" t="n">
        <v>-3.797175</v>
      </c>
      <c r="W260" s="5" t="n">
        <v>-38.613528</v>
      </c>
    </row>
    <row r="261" customFormat="false" ht="23.25" hidden="false" customHeight="true" outlineLevel="0" collapsed="false">
      <c r="A261" s="5" t="s">
        <v>1210</v>
      </c>
      <c r="B261" s="5" t="s">
        <v>52</v>
      </c>
      <c r="C261" s="5" t="s">
        <v>1211</v>
      </c>
      <c r="D261" s="5" t="s">
        <v>1212</v>
      </c>
      <c r="E261" s="5" t="s">
        <v>1213</v>
      </c>
      <c r="F261" s="5" t="n">
        <v>108</v>
      </c>
      <c r="G261" s="5" t="s">
        <v>71</v>
      </c>
      <c r="H261" s="5" t="n">
        <v>4</v>
      </c>
      <c r="I261" s="5" t="n">
        <v>17</v>
      </c>
      <c r="J261" s="5" t="s">
        <v>41</v>
      </c>
      <c r="K261" s="5" t="n">
        <v>11</v>
      </c>
      <c r="L261" s="5" t="s">
        <v>42</v>
      </c>
      <c r="M261" s="5"/>
      <c r="N261" s="5" t="s">
        <v>822</v>
      </c>
      <c r="O261" s="6" t="n">
        <v>65860.47</v>
      </c>
      <c r="P261" s="5" t="s">
        <v>311</v>
      </c>
      <c r="Q261" s="6" t="n">
        <v>65860.47</v>
      </c>
      <c r="R261" s="5" t="s">
        <v>1214</v>
      </c>
      <c r="S261" s="5"/>
      <c r="T261" s="5" t="s">
        <v>44</v>
      </c>
      <c r="U261" s="5" t="s">
        <v>1215</v>
      </c>
      <c r="V261" s="5" t="n">
        <v>-3.786305</v>
      </c>
      <c r="W261" s="5" t="n">
        <v>-38.579504</v>
      </c>
    </row>
    <row r="262" customFormat="false" ht="15" hidden="false" customHeight="true" outlineLevel="0" collapsed="false">
      <c r="A262" s="5" t="s">
        <v>1216</v>
      </c>
      <c r="B262" s="5" t="s">
        <v>36</v>
      </c>
      <c r="C262" s="5" t="s">
        <v>1217</v>
      </c>
      <c r="D262" s="5" t="s">
        <v>1218</v>
      </c>
      <c r="E262" s="5" t="s">
        <v>199</v>
      </c>
      <c r="F262" s="5" t="n">
        <v>39</v>
      </c>
      <c r="G262" s="5" t="s">
        <v>40</v>
      </c>
      <c r="H262" s="5" t="n">
        <v>1</v>
      </c>
      <c r="I262" s="5" t="n">
        <v>2</v>
      </c>
      <c r="J262" s="5" t="s">
        <v>619</v>
      </c>
      <c r="K262" s="5" t="n">
        <v>11</v>
      </c>
      <c r="L262" s="5" t="s">
        <v>44</v>
      </c>
      <c r="M262" s="5" t="s">
        <v>385</v>
      </c>
      <c r="N262" s="5" t="s">
        <v>569</v>
      </c>
      <c r="O262" s="5"/>
      <c r="P262" s="5"/>
      <c r="Q262" s="5"/>
      <c r="R262" s="5"/>
      <c r="S262" s="5"/>
      <c r="T262" s="5" t="s">
        <v>44</v>
      </c>
      <c r="U262" s="5" t="s">
        <v>1219</v>
      </c>
      <c r="V262" s="5" t="n">
        <v>-3.713549</v>
      </c>
      <c r="W262" s="5" t="n">
        <v>-38.60055</v>
      </c>
    </row>
    <row r="263" customFormat="false" ht="23.25" hidden="false" customHeight="true" outlineLevel="0" collapsed="false">
      <c r="A263" s="5" t="s">
        <v>1220</v>
      </c>
      <c r="B263" s="5" t="s">
        <v>52</v>
      </c>
      <c r="C263" s="5" t="s">
        <v>1221</v>
      </c>
      <c r="D263" s="5" t="s">
        <v>1222</v>
      </c>
      <c r="E263" s="5" t="s">
        <v>474</v>
      </c>
      <c r="F263" s="5" t="n">
        <v>5</v>
      </c>
      <c r="G263" s="5" t="s">
        <v>40</v>
      </c>
      <c r="H263" s="5" t="n">
        <v>12</v>
      </c>
      <c r="I263" s="5" t="n">
        <v>1</v>
      </c>
      <c r="J263" s="5" t="s">
        <v>41</v>
      </c>
      <c r="K263" s="5" t="n">
        <v>11</v>
      </c>
      <c r="L263" s="5" t="s">
        <v>42</v>
      </c>
      <c r="M263" s="5"/>
      <c r="N263" s="5" t="s">
        <v>822</v>
      </c>
      <c r="O263" s="6" t="n">
        <v>19869.46</v>
      </c>
      <c r="P263" s="5" t="s">
        <v>311</v>
      </c>
      <c r="Q263" s="6" t="n">
        <v>19869.46</v>
      </c>
      <c r="R263" s="5" t="s">
        <v>1223</v>
      </c>
      <c r="S263" s="5"/>
      <c r="T263" s="5" t="s">
        <v>44</v>
      </c>
      <c r="U263" s="5" t="s">
        <v>1224</v>
      </c>
      <c r="V263" s="5" t="n">
        <v>-3.7185</v>
      </c>
      <c r="W263" s="5" t="n">
        <v>-38.535146</v>
      </c>
    </row>
    <row r="264" customFormat="false" ht="23.25" hidden="false" customHeight="true" outlineLevel="0" collapsed="false">
      <c r="A264" s="5" t="s">
        <v>1225</v>
      </c>
      <c r="B264" s="5" t="s">
        <v>52</v>
      </c>
      <c r="C264" s="5" t="s">
        <v>1226</v>
      </c>
      <c r="D264" s="5" t="s">
        <v>1227</v>
      </c>
      <c r="E264" s="5" t="s">
        <v>522</v>
      </c>
      <c r="F264" s="5" t="n">
        <v>90</v>
      </c>
      <c r="G264" s="5" t="s">
        <v>64</v>
      </c>
      <c r="H264" s="5" t="n">
        <v>5</v>
      </c>
      <c r="I264" s="5" t="n">
        <v>39</v>
      </c>
      <c r="J264" s="5" t="s">
        <v>41</v>
      </c>
      <c r="K264" s="5" t="n">
        <v>11</v>
      </c>
      <c r="L264" s="5" t="s">
        <v>42</v>
      </c>
      <c r="M264" s="5"/>
      <c r="N264" s="5" t="s">
        <v>822</v>
      </c>
      <c r="O264" s="6" t="n">
        <v>19444.13</v>
      </c>
      <c r="P264" s="5" t="s">
        <v>1228</v>
      </c>
      <c r="Q264" s="6" t="n">
        <v>19444.13</v>
      </c>
      <c r="R264" s="5" t="s">
        <v>1229</v>
      </c>
      <c r="S264" s="5" t="s">
        <v>1230</v>
      </c>
      <c r="T264" s="5" t="s">
        <v>44</v>
      </c>
      <c r="U264" s="5" t="s">
        <v>1231</v>
      </c>
      <c r="V264" s="5" t="n">
        <v>-3.817679</v>
      </c>
      <c r="W264" s="5" t="n">
        <v>-38.617243</v>
      </c>
    </row>
    <row r="265" customFormat="false" ht="23.25" hidden="false" customHeight="true" outlineLevel="0" collapsed="false">
      <c r="A265" s="5" t="s">
        <v>1232</v>
      </c>
      <c r="B265" s="5" t="s">
        <v>52</v>
      </c>
      <c r="C265" s="5" t="s">
        <v>1233</v>
      </c>
      <c r="D265" s="5" t="s">
        <v>1234</v>
      </c>
      <c r="E265" s="5" t="s">
        <v>199</v>
      </c>
      <c r="F265" s="5" t="n">
        <v>39</v>
      </c>
      <c r="G265" s="5" t="s">
        <v>40</v>
      </c>
      <c r="H265" s="5" t="n">
        <v>1</v>
      </c>
      <c r="I265" s="5" t="n">
        <v>2</v>
      </c>
      <c r="J265" s="5"/>
      <c r="K265" s="5" t="n">
        <v>11</v>
      </c>
      <c r="L265" s="5" t="s">
        <v>42</v>
      </c>
      <c r="M265" s="5"/>
      <c r="N265" s="5" t="s">
        <v>43</v>
      </c>
      <c r="O265" s="6" t="n">
        <v>61142.09</v>
      </c>
      <c r="P265" s="5" t="s">
        <v>311</v>
      </c>
      <c r="Q265" s="6" t="n">
        <v>61142.09</v>
      </c>
      <c r="R265" s="5" t="s">
        <v>1235</v>
      </c>
      <c r="S265" s="5"/>
      <c r="T265" s="5" t="s">
        <v>42</v>
      </c>
      <c r="U265" s="5" t="s">
        <v>1236</v>
      </c>
      <c r="V265" s="5" t="n">
        <v>-3.718469</v>
      </c>
      <c r="W265" s="5" t="n">
        <v>-38.60302</v>
      </c>
    </row>
    <row r="266" customFormat="false" ht="23.25" hidden="false" customHeight="true" outlineLevel="0" collapsed="false">
      <c r="A266" s="5" t="s">
        <v>1237</v>
      </c>
      <c r="B266" s="5" t="s">
        <v>52</v>
      </c>
      <c r="C266" s="5" t="s">
        <v>1238</v>
      </c>
      <c r="D266" s="5" t="s">
        <v>1239</v>
      </c>
      <c r="E266" s="5" t="s">
        <v>493</v>
      </c>
      <c r="F266" s="5" t="n">
        <v>47</v>
      </c>
      <c r="G266" s="5" t="s">
        <v>96</v>
      </c>
      <c r="H266" s="5" t="n">
        <v>3</v>
      </c>
      <c r="I266" s="5" t="n">
        <v>12</v>
      </c>
      <c r="J266" s="5"/>
      <c r="K266" s="5" t="n">
        <v>11</v>
      </c>
      <c r="L266" s="5" t="s">
        <v>42</v>
      </c>
      <c r="M266" s="5"/>
      <c r="N266" s="5" t="s">
        <v>43</v>
      </c>
      <c r="O266" s="6" t="n">
        <v>47827.26</v>
      </c>
      <c r="P266" s="5" t="s">
        <v>311</v>
      </c>
      <c r="Q266" s="6" t="n">
        <v>47827.26</v>
      </c>
      <c r="R266" s="5" t="s">
        <v>1240</v>
      </c>
      <c r="S266" s="5"/>
      <c r="T266" s="5" t="s">
        <v>42</v>
      </c>
      <c r="U266" s="5" t="s">
        <v>1241</v>
      </c>
      <c r="V266" s="5" t="n">
        <v>-3.730961</v>
      </c>
      <c r="W266" s="5" t="n">
        <v>-38.581272</v>
      </c>
    </row>
    <row r="267" customFormat="false" ht="23.25" hidden="false" customHeight="true" outlineLevel="0" collapsed="false">
      <c r="A267" s="5" t="s">
        <v>1242</v>
      </c>
      <c r="B267" s="5" t="s">
        <v>52</v>
      </c>
      <c r="C267" s="5" t="s">
        <v>1243</v>
      </c>
      <c r="D267" s="5" t="s">
        <v>338</v>
      </c>
      <c r="E267" s="5" t="s">
        <v>81</v>
      </c>
      <c r="F267" s="5" t="n">
        <v>78</v>
      </c>
      <c r="G267" s="5" t="s">
        <v>64</v>
      </c>
      <c r="H267" s="5" t="n">
        <v>5</v>
      </c>
      <c r="I267" s="5" t="n">
        <v>39</v>
      </c>
      <c r="J267" s="5"/>
      <c r="K267" s="5" t="n">
        <v>11</v>
      </c>
      <c r="L267" s="5" t="s">
        <v>42</v>
      </c>
      <c r="M267" s="5"/>
      <c r="N267" s="5" t="s">
        <v>43</v>
      </c>
      <c r="O267" s="5"/>
      <c r="P267" s="5"/>
      <c r="Q267" s="6" t="n">
        <v>0</v>
      </c>
      <c r="R267" s="5"/>
      <c r="S267" s="5"/>
      <c r="T267" s="5" t="s">
        <v>42</v>
      </c>
      <c r="U267" s="5" t="s">
        <v>339</v>
      </c>
      <c r="V267" s="5" t="n">
        <v>-3.776928</v>
      </c>
      <c r="W267" s="5" t="n">
        <v>-38.617501</v>
      </c>
    </row>
    <row r="268" customFormat="false" ht="23.25" hidden="false" customHeight="true" outlineLevel="0" collapsed="false">
      <c r="A268" s="5" t="s">
        <v>1244</v>
      </c>
      <c r="B268" s="5" t="s">
        <v>52</v>
      </c>
      <c r="C268" s="5" t="s">
        <v>1245</v>
      </c>
      <c r="D268" s="5" t="s">
        <v>1246</v>
      </c>
      <c r="E268" s="5" t="s">
        <v>185</v>
      </c>
      <c r="F268" s="5" t="n">
        <v>25</v>
      </c>
      <c r="G268" s="5" t="s">
        <v>96</v>
      </c>
      <c r="H268" s="5" t="n">
        <v>3</v>
      </c>
      <c r="I268" s="5" t="n">
        <v>13</v>
      </c>
      <c r="J268" s="5" t="s">
        <v>41</v>
      </c>
      <c r="K268" s="5" t="n">
        <v>13</v>
      </c>
      <c r="L268" s="5" t="s">
        <v>42</v>
      </c>
      <c r="M268" s="5"/>
      <c r="N268" s="5" t="s">
        <v>822</v>
      </c>
      <c r="O268" s="6" t="n">
        <v>69828.17</v>
      </c>
      <c r="P268" s="5" t="s">
        <v>311</v>
      </c>
      <c r="Q268" s="6" t="n">
        <v>69828.17</v>
      </c>
      <c r="R268" s="5" t="s">
        <v>1247</v>
      </c>
      <c r="S268" s="5"/>
      <c r="T268" s="5" t="s">
        <v>44</v>
      </c>
      <c r="U268" s="5" t="s">
        <v>1248</v>
      </c>
      <c r="V268" s="5" t="n">
        <v>-3.726144</v>
      </c>
      <c r="W268" s="5" t="n">
        <v>-38.546197</v>
      </c>
    </row>
    <row r="269" customFormat="false" ht="23.25" hidden="false" customHeight="true" outlineLevel="0" collapsed="false">
      <c r="A269" s="5" t="s">
        <v>1249</v>
      </c>
      <c r="B269" s="5" t="s">
        <v>36</v>
      </c>
      <c r="C269" s="5" t="s">
        <v>1250</v>
      </c>
      <c r="D269" s="5" t="s">
        <v>1251</v>
      </c>
      <c r="E269" s="5" t="s">
        <v>765</v>
      </c>
      <c r="F269" s="5" t="n">
        <v>69</v>
      </c>
      <c r="G269" s="5" t="s">
        <v>330</v>
      </c>
      <c r="H269" s="5" t="n">
        <v>9</v>
      </c>
      <c r="I269" s="5" t="n">
        <v>33</v>
      </c>
      <c r="J269" s="5" t="s">
        <v>619</v>
      </c>
      <c r="K269" s="5" t="n">
        <v>11</v>
      </c>
      <c r="L269" s="5" t="s">
        <v>44</v>
      </c>
      <c r="M269" s="5" t="s">
        <v>385</v>
      </c>
      <c r="N269" s="5" t="s">
        <v>569</v>
      </c>
      <c r="O269" s="5"/>
      <c r="P269" s="5"/>
      <c r="Q269" s="5"/>
      <c r="R269" s="5"/>
      <c r="S269" s="5"/>
      <c r="T269" s="5" t="s">
        <v>44</v>
      </c>
      <c r="U269" s="5" t="s">
        <v>1252</v>
      </c>
      <c r="V269" s="5" t="n">
        <v>-3.878191</v>
      </c>
      <c r="W269" s="5" t="n">
        <v>-38.514833</v>
      </c>
    </row>
    <row r="270" customFormat="false" ht="23.25" hidden="false" customHeight="true" outlineLevel="0" collapsed="false">
      <c r="A270" s="5" t="s">
        <v>1253</v>
      </c>
      <c r="B270" s="5" t="s">
        <v>52</v>
      </c>
      <c r="C270" s="5" t="s">
        <v>1254</v>
      </c>
      <c r="D270" s="5" t="s">
        <v>1255</v>
      </c>
      <c r="E270" s="5" t="s">
        <v>553</v>
      </c>
      <c r="F270" s="5" t="n">
        <v>41</v>
      </c>
      <c r="G270" s="5" t="s">
        <v>96</v>
      </c>
      <c r="H270" s="5" t="n">
        <v>11</v>
      </c>
      <c r="I270" s="5" t="n">
        <v>37</v>
      </c>
      <c r="J270" s="5"/>
      <c r="K270" s="5" t="n">
        <v>11</v>
      </c>
      <c r="L270" s="5" t="s">
        <v>42</v>
      </c>
      <c r="M270" s="5"/>
      <c r="N270" s="5" t="s">
        <v>43</v>
      </c>
      <c r="O270" s="5"/>
      <c r="P270" s="5"/>
      <c r="Q270" s="6" t="n">
        <v>0</v>
      </c>
      <c r="R270" s="5"/>
      <c r="S270" s="5"/>
      <c r="T270" s="5" t="s">
        <v>42</v>
      </c>
      <c r="U270" s="5" t="s">
        <v>1256</v>
      </c>
      <c r="V270" s="5" t="n">
        <v>-3.749406</v>
      </c>
      <c r="W270" s="5" t="n">
        <v>-38.595859</v>
      </c>
    </row>
    <row r="271" customFormat="false" ht="23.25" hidden="false" customHeight="true" outlineLevel="0" collapsed="false">
      <c r="A271" s="5" t="s">
        <v>1257</v>
      </c>
      <c r="B271" s="5" t="s">
        <v>52</v>
      </c>
      <c r="C271" s="5" t="s">
        <v>1258</v>
      </c>
      <c r="D271" s="5" t="s">
        <v>1259</v>
      </c>
      <c r="E271" s="5" t="s">
        <v>1260</v>
      </c>
      <c r="F271" s="5" t="n">
        <v>46</v>
      </c>
      <c r="G271" s="5" t="s">
        <v>96</v>
      </c>
      <c r="H271" s="5" t="n">
        <v>11</v>
      </c>
      <c r="I271" s="5" t="n">
        <v>37</v>
      </c>
      <c r="J271" s="5"/>
      <c r="K271" s="5" t="n">
        <v>11</v>
      </c>
      <c r="L271" s="5" t="s">
        <v>42</v>
      </c>
      <c r="M271" s="5"/>
      <c r="N271" s="5" t="s">
        <v>43</v>
      </c>
      <c r="O271" s="5"/>
      <c r="P271" s="5"/>
      <c r="Q271" s="6" t="n">
        <v>0</v>
      </c>
      <c r="R271" s="5"/>
      <c r="S271" s="5"/>
      <c r="T271" s="5" t="s">
        <v>42</v>
      </c>
      <c r="U271" s="5" t="s">
        <v>1261</v>
      </c>
      <c r="V271" s="5" t="n">
        <v>-3.768031</v>
      </c>
      <c r="W271" s="5" t="n">
        <v>-38.590316</v>
      </c>
    </row>
    <row r="272" customFormat="false" ht="23.25" hidden="false" customHeight="true" outlineLevel="0" collapsed="false">
      <c r="A272" s="5" t="s">
        <v>1262</v>
      </c>
      <c r="B272" s="5" t="s">
        <v>36</v>
      </c>
      <c r="C272" s="5" t="s">
        <v>1263</v>
      </c>
      <c r="D272" s="5" t="s">
        <v>1251</v>
      </c>
      <c r="E272" s="5" t="s">
        <v>765</v>
      </c>
      <c r="F272" s="5" t="n">
        <v>69</v>
      </c>
      <c r="G272" s="5" t="s">
        <v>330</v>
      </c>
      <c r="H272" s="5" t="n">
        <v>9</v>
      </c>
      <c r="I272" s="5" t="n">
        <v>33</v>
      </c>
      <c r="J272" s="5" t="s">
        <v>619</v>
      </c>
      <c r="K272" s="5" t="n">
        <v>11</v>
      </c>
      <c r="L272" s="5" t="s">
        <v>44</v>
      </c>
      <c r="M272" s="5" t="s">
        <v>385</v>
      </c>
      <c r="N272" s="5" t="s">
        <v>569</v>
      </c>
      <c r="O272" s="5"/>
      <c r="P272" s="5"/>
      <c r="Q272" s="5"/>
      <c r="R272" s="5"/>
      <c r="S272" s="5"/>
      <c r="T272" s="5" t="s">
        <v>44</v>
      </c>
      <c r="U272" s="5" t="s">
        <v>1252</v>
      </c>
      <c r="V272" s="5" t="n">
        <v>-3.878448</v>
      </c>
      <c r="W272" s="5" t="n">
        <v>-38.514579</v>
      </c>
    </row>
    <row r="273" customFormat="false" ht="23.25" hidden="false" customHeight="true" outlineLevel="0" collapsed="false">
      <c r="A273" s="5" t="s">
        <v>1264</v>
      </c>
      <c r="B273" s="5" t="s">
        <v>52</v>
      </c>
      <c r="C273" s="5" t="s">
        <v>1265</v>
      </c>
      <c r="D273" s="5" t="s">
        <v>245</v>
      </c>
      <c r="E273" s="5" t="s">
        <v>246</v>
      </c>
      <c r="F273" s="5" t="n">
        <v>113</v>
      </c>
      <c r="G273" s="5" t="s">
        <v>56</v>
      </c>
      <c r="H273" s="5" t="n">
        <v>7</v>
      </c>
      <c r="I273" s="5" t="n">
        <v>22</v>
      </c>
      <c r="J273" s="5"/>
      <c r="K273" s="5" t="n">
        <v>11</v>
      </c>
      <c r="L273" s="5" t="s">
        <v>42</v>
      </c>
      <c r="M273" s="5"/>
      <c r="N273" s="5" t="s">
        <v>43</v>
      </c>
      <c r="O273" s="5"/>
      <c r="P273" s="5"/>
      <c r="Q273" s="6" t="n">
        <v>0</v>
      </c>
      <c r="R273" s="5"/>
      <c r="S273" s="5"/>
      <c r="T273" s="5" t="s">
        <v>42</v>
      </c>
      <c r="U273" s="5" t="s">
        <v>247</v>
      </c>
      <c r="V273" s="5" t="n">
        <v>-3.738055</v>
      </c>
      <c r="W273" s="5" t="n">
        <v>-38.456514</v>
      </c>
    </row>
    <row r="274" customFormat="false" ht="23.25" hidden="false" customHeight="true" outlineLevel="0" collapsed="false">
      <c r="A274" s="5" t="s">
        <v>1266</v>
      </c>
      <c r="B274" s="5" t="s">
        <v>52</v>
      </c>
      <c r="C274" s="5" t="s">
        <v>1267</v>
      </c>
      <c r="D274" s="5" t="s">
        <v>1268</v>
      </c>
      <c r="E274" s="5" t="s">
        <v>654</v>
      </c>
      <c r="F274" s="5" t="n">
        <v>44</v>
      </c>
      <c r="G274" s="5" t="s">
        <v>96</v>
      </c>
      <c r="H274" s="5" t="n">
        <v>11</v>
      </c>
      <c r="I274" s="5" t="n">
        <v>38</v>
      </c>
      <c r="J274" s="5"/>
      <c r="K274" s="5" t="n">
        <v>11</v>
      </c>
      <c r="L274" s="5" t="s">
        <v>42</v>
      </c>
      <c r="M274" s="5"/>
      <c r="N274" s="5" t="s">
        <v>43</v>
      </c>
      <c r="O274" s="5"/>
      <c r="P274" s="5"/>
      <c r="Q274" s="6" t="n">
        <v>0</v>
      </c>
      <c r="R274" s="5"/>
      <c r="S274" s="5"/>
      <c r="T274" s="5" t="s">
        <v>42</v>
      </c>
      <c r="U274" s="5" t="s">
        <v>1269</v>
      </c>
      <c r="V274" s="5" t="n">
        <v>-3.762697</v>
      </c>
      <c r="W274" s="5" t="n">
        <v>-38.596342</v>
      </c>
    </row>
    <row r="275" customFormat="false" ht="23.25" hidden="false" customHeight="true" outlineLevel="0" collapsed="false">
      <c r="A275" s="5" t="s">
        <v>1270</v>
      </c>
      <c r="B275" s="5" t="s">
        <v>52</v>
      </c>
      <c r="C275" s="5" t="s">
        <v>1271</v>
      </c>
      <c r="D275" s="5" t="s">
        <v>1272</v>
      </c>
      <c r="E275" s="5" t="s">
        <v>727</v>
      </c>
      <c r="F275" s="5" t="n">
        <v>75</v>
      </c>
      <c r="G275" s="5" t="s">
        <v>96</v>
      </c>
      <c r="H275" s="5" t="n">
        <v>11</v>
      </c>
      <c r="I275" s="5" t="n">
        <v>38</v>
      </c>
      <c r="J275" s="5"/>
      <c r="K275" s="5" t="n">
        <v>11</v>
      </c>
      <c r="L275" s="5" t="s">
        <v>42</v>
      </c>
      <c r="M275" s="5"/>
      <c r="N275" s="5" t="s">
        <v>43</v>
      </c>
      <c r="O275" s="5"/>
      <c r="P275" s="5"/>
      <c r="Q275" s="6" t="n">
        <v>0</v>
      </c>
      <c r="R275" s="5"/>
      <c r="S275" s="5"/>
      <c r="T275" s="5" t="s">
        <v>42</v>
      </c>
      <c r="U275" s="5" t="s">
        <v>1273</v>
      </c>
      <c r="V275" s="5" t="n">
        <v>-3.771991</v>
      </c>
      <c r="W275" s="5" t="n">
        <v>-38.607917</v>
      </c>
    </row>
    <row r="276" customFormat="false" ht="23.25" hidden="false" customHeight="true" outlineLevel="0" collapsed="false">
      <c r="A276" s="5" t="s">
        <v>1274</v>
      </c>
      <c r="B276" s="5" t="s">
        <v>52</v>
      </c>
      <c r="C276" s="5" t="s">
        <v>1275</v>
      </c>
      <c r="D276" s="5" t="s">
        <v>1276</v>
      </c>
      <c r="E276" s="5" t="s">
        <v>624</v>
      </c>
      <c r="F276" s="5" t="n">
        <v>27</v>
      </c>
      <c r="G276" s="5" t="s">
        <v>56</v>
      </c>
      <c r="H276" s="5" t="n">
        <v>2</v>
      </c>
      <c r="I276" s="5" t="n">
        <v>8</v>
      </c>
      <c r="J276" s="5"/>
      <c r="K276" s="5" t="n">
        <v>11</v>
      </c>
      <c r="L276" s="5" t="s">
        <v>42</v>
      </c>
      <c r="M276" s="5"/>
      <c r="N276" s="5" t="s">
        <v>43</v>
      </c>
      <c r="O276" s="5"/>
      <c r="P276" s="5"/>
      <c r="Q276" s="6" t="n">
        <v>0</v>
      </c>
      <c r="R276" s="5"/>
      <c r="S276" s="5"/>
      <c r="T276" s="5" t="s">
        <v>42</v>
      </c>
      <c r="U276" s="5" t="s">
        <v>1277</v>
      </c>
      <c r="V276" s="5" t="n">
        <v>-3.734835</v>
      </c>
      <c r="W276" s="5" t="n">
        <v>-38.483312</v>
      </c>
    </row>
    <row r="277" customFormat="false" ht="23.25" hidden="false" customHeight="true" outlineLevel="0" collapsed="false">
      <c r="A277" s="5" t="s">
        <v>1278</v>
      </c>
      <c r="B277" s="5" t="s">
        <v>52</v>
      </c>
      <c r="C277" s="5" t="s">
        <v>1279</v>
      </c>
      <c r="D277" s="5" t="s">
        <v>1280</v>
      </c>
      <c r="E277" s="5" t="s">
        <v>218</v>
      </c>
      <c r="F277" s="5" t="n">
        <v>107</v>
      </c>
      <c r="G277" s="5" t="s">
        <v>71</v>
      </c>
      <c r="H277" s="5" t="n">
        <v>8</v>
      </c>
      <c r="I277" s="5" t="n">
        <v>19</v>
      </c>
      <c r="J277" s="5"/>
      <c r="K277" s="5" t="n">
        <v>11</v>
      </c>
      <c r="L277" s="5" t="s">
        <v>42</v>
      </c>
      <c r="M277" s="5"/>
      <c r="N277" s="5" t="s">
        <v>43</v>
      </c>
      <c r="O277" s="5"/>
      <c r="P277" s="5"/>
      <c r="Q277" s="6" t="n">
        <v>0</v>
      </c>
      <c r="R277" s="5"/>
      <c r="S277" s="5"/>
      <c r="T277" s="5" t="s">
        <v>42</v>
      </c>
      <c r="U277" s="5" t="s">
        <v>1281</v>
      </c>
      <c r="V277" s="5" t="n">
        <v>-3.778465</v>
      </c>
      <c r="W277" s="5" t="n">
        <v>-38.549064</v>
      </c>
    </row>
    <row r="278" customFormat="false" ht="23.25" hidden="false" customHeight="true" outlineLevel="0" collapsed="false">
      <c r="A278" s="5" t="s">
        <v>1282</v>
      </c>
      <c r="B278" s="5" t="s">
        <v>52</v>
      </c>
      <c r="C278" s="5" t="s">
        <v>1283</v>
      </c>
      <c r="D278" s="5" t="s">
        <v>1284</v>
      </c>
      <c r="E278" s="5" t="s">
        <v>1285</v>
      </c>
      <c r="F278" s="5" t="n">
        <v>15</v>
      </c>
      <c r="G278" s="5" t="s">
        <v>96</v>
      </c>
      <c r="H278" s="5" t="n">
        <v>3</v>
      </c>
      <c r="I278" s="5" t="n">
        <v>13</v>
      </c>
      <c r="J278" s="5" t="s">
        <v>41</v>
      </c>
      <c r="K278" s="5" t="n">
        <v>14</v>
      </c>
      <c r="L278" s="5" t="s">
        <v>42</v>
      </c>
      <c r="M278" s="5"/>
      <c r="N278" s="5" t="s">
        <v>822</v>
      </c>
      <c r="O278" s="6" t="n">
        <v>109080.93</v>
      </c>
      <c r="P278" s="5" t="s">
        <v>311</v>
      </c>
      <c r="Q278" s="6" t="n">
        <v>109080.93</v>
      </c>
      <c r="R278" s="5" t="s">
        <v>1286</v>
      </c>
      <c r="S278" s="5"/>
      <c r="T278" s="5" t="s">
        <v>44</v>
      </c>
      <c r="U278" s="5" t="s">
        <v>1287</v>
      </c>
      <c r="V278" s="5" t="n">
        <v>-3.732047</v>
      </c>
      <c r="W278" s="5" t="n">
        <v>-38.541227</v>
      </c>
    </row>
    <row r="279" customFormat="false" ht="23.25" hidden="false" customHeight="true" outlineLevel="0" collapsed="false">
      <c r="A279" s="5" t="s">
        <v>1288</v>
      </c>
      <c r="B279" s="5" t="s">
        <v>36</v>
      </c>
      <c r="C279" s="5" t="s">
        <v>1289</v>
      </c>
      <c r="D279" s="5" t="s">
        <v>1290</v>
      </c>
      <c r="E279" s="5" t="s">
        <v>374</v>
      </c>
      <c r="F279" s="5" t="n">
        <v>61</v>
      </c>
      <c r="G279" s="5" t="s">
        <v>330</v>
      </c>
      <c r="H279" s="5" t="n">
        <v>9</v>
      </c>
      <c r="I279" s="5" t="n">
        <v>32</v>
      </c>
      <c r="J279" s="5" t="s">
        <v>41</v>
      </c>
      <c r="K279" s="5" t="n">
        <v>6</v>
      </c>
      <c r="L279" s="5" t="s">
        <v>42</v>
      </c>
      <c r="M279" s="5"/>
      <c r="N279" s="5" t="s">
        <v>1291</v>
      </c>
      <c r="O279" s="6" t="n">
        <v>5799.53</v>
      </c>
      <c r="P279" s="5" t="s">
        <v>1292</v>
      </c>
      <c r="Q279" s="6" t="n">
        <v>5799.53</v>
      </c>
      <c r="R279" s="5" t="s">
        <v>1293</v>
      </c>
      <c r="S279" s="5" t="s">
        <v>728</v>
      </c>
      <c r="T279" s="5" t="s">
        <v>44</v>
      </c>
      <c r="U279" s="5" t="s">
        <v>1294</v>
      </c>
      <c r="V279" s="5" t="n">
        <v>-3.838495</v>
      </c>
      <c r="W279" s="5" t="n">
        <v>-38.502062</v>
      </c>
    </row>
    <row r="280" customFormat="false" ht="23.25" hidden="false" customHeight="true" outlineLevel="0" collapsed="false">
      <c r="A280" s="5" t="s">
        <v>1295</v>
      </c>
      <c r="B280" s="5" t="s">
        <v>36</v>
      </c>
      <c r="C280" s="5" t="s">
        <v>1296</v>
      </c>
      <c r="D280" s="5" t="s">
        <v>1297</v>
      </c>
      <c r="E280" s="5" t="s">
        <v>126</v>
      </c>
      <c r="F280" s="5" t="n">
        <v>77</v>
      </c>
      <c r="G280" s="5" t="s">
        <v>71</v>
      </c>
      <c r="H280" s="5" t="n">
        <v>8</v>
      </c>
      <c r="I280" s="5" t="n">
        <v>19</v>
      </c>
      <c r="J280" s="5" t="s">
        <v>619</v>
      </c>
      <c r="K280" s="5" t="n">
        <v>11</v>
      </c>
      <c r="L280" s="5" t="s">
        <v>44</v>
      </c>
      <c r="M280" s="5" t="s">
        <v>385</v>
      </c>
      <c r="N280" s="5" t="s">
        <v>569</v>
      </c>
      <c r="O280" s="5"/>
      <c r="P280" s="5"/>
      <c r="Q280" s="5"/>
      <c r="R280" s="5"/>
      <c r="S280" s="5"/>
      <c r="T280" s="5" t="s">
        <v>44</v>
      </c>
      <c r="U280" s="5" t="s">
        <v>1298</v>
      </c>
      <c r="V280" s="5" t="n">
        <v>-3.801629</v>
      </c>
      <c r="W280" s="5" t="n">
        <v>-38.560056</v>
      </c>
    </row>
    <row r="281" customFormat="false" ht="23.25" hidden="false" customHeight="true" outlineLevel="0" collapsed="false">
      <c r="A281" s="5" t="s">
        <v>1299</v>
      </c>
      <c r="B281" s="5" t="s">
        <v>36</v>
      </c>
      <c r="C281" s="5" t="s">
        <v>1300</v>
      </c>
      <c r="D281" s="5" t="s">
        <v>1301</v>
      </c>
      <c r="E281" s="5" t="s">
        <v>1302</v>
      </c>
      <c r="F281" s="5" t="n">
        <v>93</v>
      </c>
      <c r="G281" s="5" t="s">
        <v>330</v>
      </c>
      <c r="H281" s="5" t="n">
        <v>6</v>
      </c>
      <c r="I281" s="5" t="n">
        <v>26</v>
      </c>
      <c r="J281" s="5" t="s">
        <v>619</v>
      </c>
      <c r="K281" s="5" t="n">
        <v>11</v>
      </c>
      <c r="L281" s="5" t="s">
        <v>44</v>
      </c>
      <c r="M281" s="5" t="s">
        <v>385</v>
      </c>
      <c r="N281" s="5" t="s">
        <v>569</v>
      </c>
      <c r="O281" s="5"/>
      <c r="P281" s="5"/>
      <c r="Q281" s="5"/>
      <c r="R281" s="5"/>
      <c r="S281" s="5"/>
      <c r="T281" s="5" t="s">
        <v>44</v>
      </c>
      <c r="U281" s="5" t="s">
        <v>1303</v>
      </c>
      <c r="V281" s="5" t="n">
        <v>-3.764103</v>
      </c>
      <c r="W281" s="5" t="n">
        <v>-38.510449</v>
      </c>
    </row>
    <row r="282" customFormat="false" ht="34.5" hidden="false" customHeight="true" outlineLevel="0" collapsed="false">
      <c r="A282" s="5" t="s">
        <v>1304</v>
      </c>
      <c r="B282" s="5" t="s">
        <v>36</v>
      </c>
      <c r="C282" s="5" t="s">
        <v>1305</v>
      </c>
      <c r="D282" s="5" t="s">
        <v>1306</v>
      </c>
      <c r="E282" s="5" t="s">
        <v>484</v>
      </c>
      <c r="F282" s="5" t="n">
        <v>85</v>
      </c>
      <c r="G282" s="5" t="s">
        <v>64</v>
      </c>
      <c r="H282" s="5" t="n">
        <v>10</v>
      </c>
      <c r="I282" s="5" t="n">
        <v>34</v>
      </c>
      <c r="J282" s="5" t="s">
        <v>619</v>
      </c>
      <c r="K282" s="5" t="n">
        <v>11</v>
      </c>
      <c r="L282" s="5" t="s">
        <v>44</v>
      </c>
      <c r="M282" s="5" t="s">
        <v>385</v>
      </c>
      <c r="N282" s="5" t="s">
        <v>569</v>
      </c>
      <c r="O282" s="5"/>
      <c r="P282" s="5"/>
      <c r="Q282" s="5"/>
      <c r="R282" s="5"/>
      <c r="S282" s="5"/>
      <c r="T282" s="5" t="s">
        <v>44</v>
      </c>
      <c r="U282" s="5" t="s">
        <v>1307</v>
      </c>
      <c r="V282" s="5" t="n">
        <v>-3.822287</v>
      </c>
      <c r="W282" s="5" t="n">
        <v>-38.599984</v>
      </c>
    </row>
    <row r="283" customFormat="false" ht="23.25" hidden="false" customHeight="true" outlineLevel="0" collapsed="false">
      <c r="A283" s="5" t="s">
        <v>1308</v>
      </c>
      <c r="B283" s="5" t="s">
        <v>52</v>
      </c>
      <c r="C283" s="5" t="s">
        <v>1309</v>
      </c>
      <c r="D283" s="5" t="s">
        <v>1310</v>
      </c>
      <c r="E283" s="5" t="s">
        <v>703</v>
      </c>
      <c r="F283" s="5" t="n">
        <v>72</v>
      </c>
      <c r="G283" s="5" t="s">
        <v>64</v>
      </c>
      <c r="H283" s="5" t="n">
        <v>5</v>
      </c>
      <c r="I283" s="5" t="n">
        <v>39</v>
      </c>
      <c r="J283" s="5"/>
      <c r="K283" s="5" t="n">
        <v>11</v>
      </c>
      <c r="L283" s="5" t="s">
        <v>44</v>
      </c>
      <c r="M283" s="5" t="s">
        <v>97</v>
      </c>
      <c r="N283" s="5" t="s">
        <v>43</v>
      </c>
      <c r="O283" s="5"/>
      <c r="P283" s="5"/>
      <c r="Q283" s="6" t="n">
        <v>0</v>
      </c>
      <c r="R283" s="5"/>
      <c r="S283" s="5"/>
      <c r="T283" s="5" t="s">
        <v>42</v>
      </c>
      <c r="U283" s="5" t="s">
        <v>1311</v>
      </c>
      <c r="V283" s="5" t="n">
        <v>-3.792342</v>
      </c>
      <c r="W283" s="5" t="n">
        <v>-38.601843</v>
      </c>
    </row>
    <row r="284" customFormat="false" ht="23.25" hidden="false" customHeight="true" outlineLevel="0" collapsed="false">
      <c r="A284" s="5" t="s">
        <v>1312</v>
      </c>
      <c r="B284" s="5" t="s">
        <v>36</v>
      </c>
      <c r="C284" s="5" t="s">
        <v>1313</v>
      </c>
      <c r="D284" s="5" t="s">
        <v>1314</v>
      </c>
      <c r="E284" s="5" t="s">
        <v>70</v>
      </c>
      <c r="F284" s="5" t="n">
        <v>89</v>
      </c>
      <c r="G284" s="5" t="s">
        <v>71</v>
      </c>
      <c r="H284" s="5" t="n">
        <v>8</v>
      </c>
      <c r="I284" s="5" t="n">
        <v>21</v>
      </c>
      <c r="J284" s="5" t="s">
        <v>619</v>
      </c>
      <c r="K284" s="5" t="n">
        <v>11</v>
      </c>
      <c r="L284" s="5" t="s">
        <v>44</v>
      </c>
      <c r="M284" s="5" t="s">
        <v>97</v>
      </c>
      <c r="N284" s="5" t="s">
        <v>569</v>
      </c>
      <c r="O284" s="5"/>
      <c r="P284" s="5"/>
      <c r="Q284" s="5"/>
      <c r="R284" s="5"/>
      <c r="S284" s="5"/>
      <c r="T284" s="5" t="s">
        <v>44</v>
      </c>
      <c r="U284" s="5" t="s">
        <v>1315</v>
      </c>
      <c r="V284" s="5" t="n">
        <v>-3.842997</v>
      </c>
      <c r="W284" s="5" t="n">
        <v>-38.554797</v>
      </c>
    </row>
    <row r="285" customFormat="false" ht="23.25" hidden="false" customHeight="true" outlineLevel="0" collapsed="false">
      <c r="A285" s="5" t="s">
        <v>1316</v>
      </c>
      <c r="B285" s="5" t="s">
        <v>36</v>
      </c>
      <c r="C285" s="5" t="s">
        <v>1317</v>
      </c>
      <c r="D285" s="5" t="s">
        <v>1318</v>
      </c>
      <c r="E285" s="5" t="s">
        <v>70</v>
      </c>
      <c r="F285" s="5" t="n">
        <v>89</v>
      </c>
      <c r="G285" s="5" t="s">
        <v>71</v>
      </c>
      <c r="H285" s="5" t="n">
        <v>8</v>
      </c>
      <c r="I285" s="5" t="n">
        <v>21</v>
      </c>
      <c r="J285" s="5" t="s">
        <v>619</v>
      </c>
      <c r="K285" s="5" t="n">
        <v>11</v>
      </c>
      <c r="L285" s="5" t="s">
        <v>44</v>
      </c>
      <c r="M285" s="5" t="s">
        <v>97</v>
      </c>
      <c r="N285" s="5" t="s">
        <v>569</v>
      </c>
      <c r="O285" s="5"/>
      <c r="P285" s="5"/>
      <c r="Q285" s="5"/>
      <c r="R285" s="5"/>
      <c r="S285" s="5"/>
      <c r="T285" s="5" t="s">
        <v>44</v>
      </c>
      <c r="U285" s="5" t="s">
        <v>1319</v>
      </c>
      <c r="V285" s="5" t="n">
        <v>-3.84292</v>
      </c>
      <c r="W285" s="5" t="n">
        <v>-38.552376</v>
      </c>
    </row>
    <row r="286" customFormat="false" ht="23.25" hidden="false" customHeight="true" outlineLevel="0" collapsed="false">
      <c r="A286" s="5" t="s">
        <v>1320</v>
      </c>
      <c r="B286" s="5" t="s">
        <v>36</v>
      </c>
      <c r="C286" s="5" t="s">
        <v>1321</v>
      </c>
      <c r="D286" s="5" t="s">
        <v>1322</v>
      </c>
      <c r="E286" s="5" t="s">
        <v>522</v>
      </c>
      <c r="F286" s="5" t="n">
        <v>90</v>
      </c>
      <c r="G286" s="5" t="s">
        <v>64</v>
      </c>
      <c r="H286" s="5" t="n">
        <v>5</v>
      </c>
      <c r="I286" s="5" t="n">
        <v>39</v>
      </c>
      <c r="J286" s="5" t="s">
        <v>41</v>
      </c>
      <c r="K286" s="5" t="n">
        <v>6</v>
      </c>
      <c r="L286" s="5" t="s">
        <v>42</v>
      </c>
      <c r="M286" s="5"/>
      <c r="N286" s="5" t="s">
        <v>1291</v>
      </c>
      <c r="O286" s="6" t="n">
        <v>5799.53</v>
      </c>
      <c r="P286" s="5" t="s">
        <v>1292</v>
      </c>
      <c r="Q286" s="6" t="n">
        <v>5799.53</v>
      </c>
      <c r="R286" s="5" t="s">
        <v>1323</v>
      </c>
      <c r="S286" s="5" t="s">
        <v>728</v>
      </c>
      <c r="T286" s="5" t="s">
        <v>44</v>
      </c>
      <c r="U286" s="5" t="s">
        <v>1324</v>
      </c>
      <c r="V286" s="5" t="n">
        <v>-3.803296</v>
      </c>
      <c r="W286" s="5" t="n">
        <v>-38.619974</v>
      </c>
    </row>
    <row r="287" customFormat="false" ht="23.25" hidden="false" customHeight="true" outlineLevel="0" collapsed="false">
      <c r="A287" s="5" t="s">
        <v>1325</v>
      </c>
      <c r="B287" s="5" t="s">
        <v>52</v>
      </c>
      <c r="C287" s="5" t="s">
        <v>1326</v>
      </c>
      <c r="D287" s="5" t="s">
        <v>1327</v>
      </c>
      <c r="E287" s="5" t="s">
        <v>204</v>
      </c>
      <c r="F287" s="5" t="n">
        <v>40</v>
      </c>
      <c r="G287" s="5" t="s">
        <v>96</v>
      </c>
      <c r="H287" s="5" t="n">
        <v>3</v>
      </c>
      <c r="I287" s="5" t="n">
        <v>11</v>
      </c>
      <c r="J287" s="5" t="s">
        <v>41</v>
      </c>
      <c r="K287" s="5" t="n">
        <v>6</v>
      </c>
      <c r="L287" s="5" t="s">
        <v>42</v>
      </c>
      <c r="M287" s="5"/>
      <c r="N287" s="5" t="s">
        <v>1291</v>
      </c>
      <c r="O287" s="6" t="n">
        <v>20639.22</v>
      </c>
      <c r="P287" s="5" t="s">
        <v>1328</v>
      </c>
      <c r="Q287" s="6" t="n">
        <v>20639.22</v>
      </c>
      <c r="R287" s="5" t="s">
        <v>1329</v>
      </c>
      <c r="S287" s="5" t="s">
        <v>1330</v>
      </c>
      <c r="T287" s="5" t="s">
        <v>44</v>
      </c>
      <c r="U287" s="5" t="s">
        <v>1331</v>
      </c>
      <c r="V287" s="5" t="n">
        <v>-3.73381</v>
      </c>
      <c r="W287" s="5" t="n">
        <v>-38.58906</v>
      </c>
    </row>
    <row r="288" customFormat="false" ht="23.25" hidden="false" customHeight="true" outlineLevel="0" collapsed="false">
      <c r="A288" s="5" t="s">
        <v>1332</v>
      </c>
      <c r="B288" s="5" t="s">
        <v>36</v>
      </c>
      <c r="C288" s="5" t="s">
        <v>1333</v>
      </c>
      <c r="D288" s="5" t="s">
        <v>1334</v>
      </c>
      <c r="E288" s="5" t="s">
        <v>703</v>
      </c>
      <c r="F288" s="5" t="n">
        <v>72</v>
      </c>
      <c r="G288" s="5" t="s">
        <v>64</v>
      </c>
      <c r="H288" s="5" t="n">
        <v>5</v>
      </c>
      <c r="I288" s="5" t="n">
        <v>39</v>
      </c>
      <c r="J288" s="5" t="s">
        <v>41</v>
      </c>
      <c r="K288" s="5" t="n">
        <v>7</v>
      </c>
      <c r="L288" s="5" t="s">
        <v>42</v>
      </c>
      <c r="M288" s="5"/>
      <c r="N288" s="5" t="s">
        <v>1291</v>
      </c>
      <c r="O288" s="6" t="n">
        <v>18386</v>
      </c>
      <c r="P288" s="5" t="s">
        <v>1292</v>
      </c>
      <c r="Q288" s="6" t="n">
        <v>18386</v>
      </c>
      <c r="R288" s="5" t="s">
        <v>1335</v>
      </c>
      <c r="S288" s="5" t="s">
        <v>728</v>
      </c>
      <c r="T288" s="5" t="s">
        <v>44</v>
      </c>
      <c r="U288" s="5" t="s">
        <v>1336</v>
      </c>
      <c r="V288" s="5" t="n">
        <v>-3.793865</v>
      </c>
      <c r="W288" s="5" t="n">
        <v>-38.594389</v>
      </c>
    </row>
    <row r="289" customFormat="false" ht="34.5" hidden="false" customHeight="true" outlineLevel="0" collapsed="false">
      <c r="A289" s="5" t="s">
        <v>1337</v>
      </c>
      <c r="B289" s="5" t="s">
        <v>275</v>
      </c>
      <c r="C289" s="5" t="s">
        <v>1338</v>
      </c>
      <c r="D289" s="5" t="s">
        <v>1339</v>
      </c>
      <c r="E289" s="5" t="s">
        <v>126</v>
      </c>
      <c r="F289" s="5" t="n">
        <v>77</v>
      </c>
      <c r="G289" s="5" t="s">
        <v>71</v>
      </c>
      <c r="H289" s="5" t="n">
        <v>8</v>
      </c>
      <c r="I289" s="5" t="n">
        <v>19</v>
      </c>
      <c r="J289" s="5" t="s">
        <v>41</v>
      </c>
      <c r="K289" s="5" t="n">
        <v>7</v>
      </c>
      <c r="L289" s="5" t="s">
        <v>42</v>
      </c>
      <c r="M289" s="5"/>
      <c r="N289" s="5" t="s">
        <v>1291</v>
      </c>
      <c r="O289" s="6" t="n">
        <v>13702.48</v>
      </c>
      <c r="P289" s="5" t="s">
        <v>1340</v>
      </c>
      <c r="Q289" s="6" t="n">
        <v>13702.48</v>
      </c>
      <c r="R289" s="5" t="s">
        <v>1341</v>
      </c>
      <c r="S289" s="5" t="s">
        <v>1342</v>
      </c>
      <c r="T289" s="5" t="s">
        <v>44</v>
      </c>
      <c r="U289" s="5" t="s">
        <v>1343</v>
      </c>
      <c r="V289" s="5" t="n">
        <v>-3.80518</v>
      </c>
      <c r="W289" s="5" t="n">
        <v>-38.553734</v>
      </c>
    </row>
    <row r="290" customFormat="false" ht="23.25" hidden="false" customHeight="true" outlineLevel="0" collapsed="false">
      <c r="A290" s="5" t="s">
        <v>1344</v>
      </c>
      <c r="B290" s="5" t="s">
        <v>36</v>
      </c>
      <c r="C290" s="5" t="s">
        <v>1345</v>
      </c>
      <c r="D290" s="5" t="s">
        <v>1346</v>
      </c>
      <c r="E290" s="5" t="s">
        <v>102</v>
      </c>
      <c r="F290" s="5" t="n">
        <v>48</v>
      </c>
      <c r="G290" s="5" t="s">
        <v>96</v>
      </c>
      <c r="H290" s="5" t="n">
        <v>3</v>
      </c>
      <c r="I290" s="5" t="n">
        <v>11</v>
      </c>
      <c r="J290" s="5"/>
      <c r="K290" s="5" t="n">
        <v>11</v>
      </c>
      <c r="L290" s="5" t="s">
        <v>42</v>
      </c>
      <c r="M290" s="5"/>
      <c r="N290" s="5" t="s">
        <v>43</v>
      </c>
      <c r="O290" s="5"/>
      <c r="P290" s="5"/>
      <c r="Q290" s="6" t="n">
        <v>0</v>
      </c>
      <c r="R290" s="5"/>
      <c r="S290" s="5"/>
      <c r="T290" s="5" t="s">
        <v>42</v>
      </c>
      <c r="U290" s="5" t="s">
        <v>1347</v>
      </c>
      <c r="V290" s="5" t="n">
        <v>-3.732481</v>
      </c>
      <c r="W290" s="5" t="n">
        <v>-38.602035</v>
      </c>
    </row>
    <row r="291" customFormat="false" ht="23.25" hidden="false" customHeight="true" outlineLevel="0" collapsed="false">
      <c r="A291" s="5" t="s">
        <v>1348</v>
      </c>
      <c r="B291" s="5" t="s">
        <v>36</v>
      </c>
      <c r="C291" s="5" t="s">
        <v>1349</v>
      </c>
      <c r="D291" s="5" t="s">
        <v>1350</v>
      </c>
      <c r="E291" s="5" t="s">
        <v>282</v>
      </c>
      <c r="F291" s="5" t="n">
        <v>37</v>
      </c>
      <c r="G291" s="5" t="s">
        <v>56</v>
      </c>
      <c r="H291" s="5" t="n">
        <v>2</v>
      </c>
      <c r="I291" s="5" t="n">
        <v>9</v>
      </c>
      <c r="J291" s="5"/>
      <c r="K291" s="5" t="n">
        <v>11</v>
      </c>
      <c r="L291" s="5" t="s">
        <v>42</v>
      </c>
      <c r="M291" s="5"/>
      <c r="N291" s="5" t="s">
        <v>43</v>
      </c>
      <c r="O291" s="5"/>
      <c r="P291" s="5"/>
      <c r="Q291" s="6" t="n">
        <v>0</v>
      </c>
      <c r="R291" s="5"/>
      <c r="S291" s="5"/>
      <c r="T291" s="5" t="s">
        <v>42</v>
      </c>
      <c r="U291" s="5" t="s">
        <v>1351</v>
      </c>
      <c r="V291" s="5" t="n">
        <v>-3.732926</v>
      </c>
      <c r="W291" s="5" t="n">
        <v>-38.478403</v>
      </c>
    </row>
    <row r="292" customFormat="false" ht="23.25" hidden="false" customHeight="true" outlineLevel="0" collapsed="false">
      <c r="A292" s="5" t="s">
        <v>1352</v>
      </c>
      <c r="B292" s="5" t="s">
        <v>36</v>
      </c>
      <c r="C292" s="5" t="s">
        <v>1353</v>
      </c>
      <c r="D292" s="5" t="s">
        <v>1354</v>
      </c>
      <c r="E292" s="5" t="s">
        <v>379</v>
      </c>
      <c r="F292" s="5" t="n">
        <v>118</v>
      </c>
      <c r="G292" s="5" t="s">
        <v>330</v>
      </c>
      <c r="H292" s="5" t="n">
        <v>6</v>
      </c>
      <c r="I292" s="5" t="n">
        <v>30</v>
      </c>
      <c r="J292" s="5" t="s">
        <v>619</v>
      </c>
      <c r="K292" s="5" t="n">
        <v>11</v>
      </c>
      <c r="L292" s="5" t="s">
        <v>44</v>
      </c>
      <c r="M292" s="5" t="s">
        <v>385</v>
      </c>
      <c r="N292" s="5" t="s">
        <v>569</v>
      </c>
      <c r="O292" s="5"/>
      <c r="P292" s="5"/>
      <c r="Q292" s="5"/>
      <c r="R292" s="5"/>
      <c r="S292" s="5"/>
      <c r="T292" s="5" t="s">
        <v>44</v>
      </c>
      <c r="U292" s="5" t="s">
        <v>1355</v>
      </c>
      <c r="V292" s="5" t="n">
        <v>-3.856491</v>
      </c>
      <c r="W292" s="5" t="n">
        <v>-38.488855</v>
      </c>
    </row>
    <row r="293" customFormat="false" ht="23.25" hidden="false" customHeight="true" outlineLevel="0" collapsed="false">
      <c r="A293" s="5" t="s">
        <v>1356</v>
      </c>
      <c r="B293" s="5" t="s">
        <v>52</v>
      </c>
      <c r="C293" s="5" t="s">
        <v>1357</v>
      </c>
      <c r="D293" s="5" t="s">
        <v>1358</v>
      </c>
      <c r="E293" s="5" t="s">
        <v>107</v>
      </c>
      <c r="F293" s="5" t="n">
        <v>115</v>
      </c>
      <c r="G293" s="5" t="s">
        <v>71</v>
      </c>
      <c r="H293" s="5" t="n">
        <v>8</v>
      </c>
      <c r="I293" s="5" t="n">
        <v>21</v>
      </c>
      <c r="J293" s="5"/>
      <c r="K293" s="5" t="n">
        <v>11</v>
      </c>
      <c r="L293" s="5" t="s">
        <v>42</v>
      </c>
      <c r="M293" s="5"/>
      <c r="N293" s="5" t="s">
        <v>43</v>
      </c>
      <c r="O293" s="5"/>
      <c r="P293" s="5"/>
      <c r="Q293" s="6" t="n">
        <v>0</v>
      </c>
      <c r="R293" s="5"/>
      <c r="S293" s="5"/>
      <c r="T293" s="5" t="s">
        <v>42</v>
      </c>
      <c r="U293" s="5" t="s">
        <v>1359</v>
      </c>
      <c r="V293" s="5" t="n">
        <v>-3.835346</v>
      </c>
      <c r="W293" s="5" t="n">
        <v>-38.577904</v>
      </c>
    </row>
    <row r="294" customFormat="false" ht="23.25" hidden="false" customHeight="true" outlineLevel="0" collapsed="false">
      <c r="A294" s="5" t="s">
        <v>1360</v>
      </c>
      <c r="B294" s="5" t="s">
        <v>52</v>
      </c>
      <c r="C294" s="5" t="s">
        <v>1361</v>
      </c>
      <c r="D294" s="5" t="s">
        <v>1362</v>
      </c>
      <c r="E294" s="5" t="s">
        <v>107</v>
      </c>
      <c r="F294" s="5" t="n">
        <v>115</v>
      </c>
      <c r="G294" s="5" t="s">
        <v>71</v>
      </c>
      <c r="H294" s="5" t="n">
        <v>8</v>
      </c>
      <c r="I294" s="5" t="n">
        <v>21</v>
      </c>
      <c r="J294" s="5"/>
      <c r="K294" s="5" t="n">
        <v>11</v>
      </c>
      <c r="L294" s="5" t="s">
        <v>42</v>
      </c>
      <c r="M294" s="5"/>
      <c r="N294" s="5" t="s">
        <v>43</v>
      </c>
      <c r="O294" s="5"/>
      <c r="P294" s="5"/>
      <c r="Q294" s="6" t="n">
        <v>0</v>
      </c>
      <c r="R294" s="5"/>
      <c r="S294" s="5"/>
      <c r="T294" s="5" t="s">
        <v>42</v>
      </c>
      <c r="U294" s="5" t="s">
        <v>1363</v>
      </c>
      <c r="V294" s="5" t="n">
        <v>-3.83866</v>
      </c>
      <c r="W294" s="5" t="n">
        <v>-38.578374</v>
      </c>
    </row>
    <row r="295" customFormat="false" ht="23.25" hidden="false" customHeight="true" outlineLevel="0" collapsed="false">
      <c r="A295" s="5" t="s">
        <v>1364</v>
      </c>
      <c r="B295" s="5" t="s">
        <v>36</v>
      </c>
      <c r="C295" s="5" t="s">
        <v>1365</v>
      </c>
      <c r="D295" s="5" t="s">
        <v>1366</v>
      </c>
      <c r="E295" s="5" t="s">
        <v>156</v>
      </c>
      <c r="F295" s="5" t="n">
        <v>6</v>
      </c>
      <c r="G295" s="5" t="s">
        <v>40</v>
      </c>
      <c r="H295" s="5" t="n">
        <v>1</v>
      </c>
      <c r="I295" s="5" t="n">
        <v>3</v>
      </c>
      <c r="J295" s="5" t="s">
        <v>619</v>
      </c>
      <c r="K295" s="5" t="n">
        <v>11</v>
      </c>
      <c r="L295" s="5" t="s">
        <v>44</v>
      </c>
      <c r="M295" s="5" t="s">
        <v>385</v>
      </c>
      <c r="N295" s="5" t="s">
        <v>569</v>
      </c>
      <c r="O295" s="5"/>
      <c r="P295" s="5"/>
      <c r="Q295" s="5"/>
      <c r="R295" s="5"/>
      <c r="S295" s="5"/>
      <c r="T295" s="5" t="s">
        <v>44</v>
      </c>
      <c r="U295" s="5" t="s">
        <v>1367</v>
      </c>
      <c r="V295" s="5" t="n">
        <v>-3.705955</v>
      </c>
      <c r="W295" s="5" t="n">
        <v>-38.585029</v>
      </c>
    </row>
    <row r="296" customFormat="false" ht="23.25" hidden="false" customHeight="true" outlineLevel="0" collapsed="false">
      <c r="A296" s="5" t="s">
        <v>1368</v>
      </c>
      <c r="B296" s="5" t="s">
        <v>36</v>
      </c>
      <c r="C296" s="5" t="s">
        <v>1369</v>
      </c>
      <c r="D296" s="5" t="s">
        <v>1370</v>
      </c>
      <c r="E296" s="5" t="s">
        <v>107</v>
      </c>
      <c r="F296" s="5" t="n">
        <v>115</v>
      </c>
      <c r="G296" s="5" t="s">
        <v>71</v>
      </c>
      <c r="H296" s="5" t="n">
        <v>8</v>
      </c>
      <c r="I296" s="5" t="n">
        <v>21</v>
      </c>
      <c r="J296" s="5"/>
      <c r="K296" s="5" t="n">
        <v>11</v>
      </c>
      <c r="L296" s="5" t="s">
        <v>42</v>
      </c>
      <c r="M296" s="5"/>
      <c r="N296" s="5" t="s">
        <v>43</v>
      </c>
      <c r="O296" s="5"/>
      <c r="P296" s="5"/>
      <c r="Q296" s="6" t="n">
        <v>0</v>
      </c>
      <c r="R296" s="5"/>
      <c r="S296" s="5"/>
      <c r="T296" s="5" t="s">
        <v>42</v>
      </c>
      <c r="U296" s="5" t="s">
        <v>1371</v>
      </c>
      <c r="V296" s="5" t="n">
        <v>-3.83356</v>
      </c>
      <c r="W296" s="5" t="n">
        <v>-38.568625</v>
      </c>
    </row>
    <row r="297" customFormat="false" ht="23.25" hidden="false" customHeight="true" outlineLevel="0" collapsed="false">
      <c r="A297" s="5" t="s">
        <v>1372</v>
      </c>
      <c r="B297" s="5" t="s">
        <v>36</v>
      </c>
      <c r="C297" s="5" t="s">
        <v>1373</v>
      </c>
      <c r="D297" s="5" t="s">
        <v>1374</v>
      </c>
      <c r="E297" s="5" t="s">
        <v>1375</v>
      </c>
      <c r="F297" s="5" t="n">
        <v>65</v>
      </c>
      <c r="G297" s="5" t="s">
        <v>330</v>
      </c>
      <c r="H297" s="5" t="n">
        <v>6</v>
      </c>
      <c r="I297" s="5" t="n">
        <v>28</v>
      </c>
      <c r="J297" s="5" t="s">
        <v>619</v>
      </c>
      <c r="K297" s="5" t="n">
        <v>11</v>
      </c>
      <c r="L297" s="5" t="s">
        <v>44</v>
      </c>
      <c r="M297" s="5" t="s">
        <v>385</v>
      </c>
      <c r="N297" s="5" t="s">
        <v>569</v>
      </c>
      <c r="O297" s="5"/>
      <c r="P297" s="5"/>
      <c r="Q297" s="5"/>
      <c r="R297" s="5"/>
      <c r="S297" s="5"/>
      <c r="T297" s="5" t="s">
        <v>44</v>
      </c>
      <c r="U297" s="5" t="s">
        <v>1376</v>
      </c>
      <c r="V297" s="5" t="n">
        <v>-3.821742</v>
      </c>
      <c r="W297" s="5" t="n">
        <v>-38.492184</v>
      </c>
    </row>
    <row r="298" customFormat="false" ht="23.25" hidden="false" customHeight="true" outlineLevel="0" collapsed="false">
      <c r="A298" s="5" t="s">
        <v>1377</v>
      </c>
      <c r="B298" s="5" t="s">
        <v>52</v>
      </c>
      <c r="C298" s="5" t="s">
        <v>1378</v>
      </c>
      <c r="D298" s="5" t="s">
        <v>1379</v>
      </c>
      <c r="E298" s="5" t="s">
        <v>218</v>
      </c>
      <c r="F298" s="5" t="n">
        <v>107</v>
      </c>
      <c r="G298" s="5" t="s">
        <v>71</v>
      </c>
      <c r="H298" s="5" t="n">
        <v>8</v>
      </c>
      <c r="I298" s="5" t="n">
        <v>19</v>
      </c>
      <c r="J298" s="5" t="s">
        <v>41</v>
      </c>
      <c r="K298" s="5" t="n">
        <v>8</v>
      </c>
      <c r="L298" s="5" t="s">
        <v>42</v>
      </c>
      <c r="M298" s="5"/>
      <c r="N298" s="5" t="s">
        <v>1291</v>
      </c>
      <c r="O298" s="6" t="n">
        <v>37821.43</v>
      </c>
      <c r="P298" s="5" t="s">
        <v>1380</v>
      </c>
      <c r="Q298" s="6" t="n">
        <v>37821.43</v>
      </c>
      <c r="R298" s="5" t="s">
        <v>1381</v>
      </c>
      <c r="S298" s="5" t="s">
        <v>1382</v>
      </c>
      <c r="T298" s="5" t="s">
        <v>44</v>
      </c>
      <c r="U298" s="5" t="s">
        <v>1383</v>
      </c>
      <c r="V298" s="5" t="n">
        <v>-3.784018</v>
      </c>
      <c r="W298" s="5" t="n">
        <v>-38.549729</v>
      </c>
    </row>
    <row r="299" customFormat="false" ht="23.25" hidden="false" customHeight="true" outlineLevel="0" collapsed="false">
      <c r="A299" s="5" t="s">
        <v>1384</v>
      </c>
      <c r="B299" s="5" t="s">
        <v>52</v>
      </c>
      <c r="C299" s="5" t="s">
        <v>1385</v>
      </c>
      <c r="D299" s="5" t="s">
        <v>1386</v>
      </c>
      <c r="E299" s="5" t="s">
        <v>231</v>
      </c>
      <c r="F299" s="5" t="n">
        <v>76</v>
      </c>
      <c r="G299" s="5" t="s">
        <v>64</v>
      </c>
      <c r="H299" s="5" t="n">
        <v>10</v>
      </c>
      <c r="I299" s="5" t="n">
        <v>34</v>
      </c>
      <c r="J299" s="5" t="s">
        <v>41</v>
      </c>
      <c r="K299" s="5" t="n">
        <v>8</v>
      </c>
      <c r="L299" s="5" t="s">
        <v>42</v>
      </c>
      <c r="M299" s="5"/>
      <c r="N299" s="5" t="s">
        <v>1291</v>
      </c>
      <c r="O299" s="6" t="n">
        <v>24306.34</v>
      </c>
      <c r="P299" s="5" t="s">
        <v>1387</v>
      </c>
      <c r="Q299" s="6" t="n">
        <v>24306.34</v>
      </c>
      <c r="R299" s="5" t="s">
        <v>1388</v>
      </c>
      <c r="S299" s="5" t="s">
        <v>1389</v>
      </c>
      <c r="T299" s="5" t="s">
        <v>44</v>
      </c>
      <c r="U299" s="5" t="s">
        <v>1390</v>
      </c>
      <c r="V299" s="5" t="n">
        <v>-3.811633</v>
      </c>
      <c r="W299" s="5" t="n">
        <v>-38.594673</v>
      </c>
    </row>
    <row r="300" customFormat="false" ht="23.25" hidden="false" customHeight="true" outlineLevel="0" collapsed="false">
      <c r="A300" s="5" t="s">
        <v>1391</v>
      </c>
      <c r="B300" s="5" t="s">
        <v>36</v>
      </c>
      <c r="C300" s="5" t="s">
        <v>1392</v>
      </c>
      <c r="D300" s="5" t="s">
        <v>1393</v>
      </c>
      <c r="E300" s="5" t="s">
        <v>1394</v>
      </c>
      <c r="F300" s="5" t="n">
        <v>16</v>
      </c>
      <c r="G300" s="5" t="s">
        <v>71</v>
      </c>
      <c r="H300" s="5" t="n">
        <v>4</v>
      </c>
      <c r="I300" s="5" t="n">
        <v>15</v>
      </c>
      <c r="J300" s="5" t="s">
        <v>41</v>
      </c>
      <c r="K300" s="5" t="n">
        <v>11</v>
      </c>
      <c r="L300" s="5" t="s">
        <v>42</v>
      </c>
      <c r="M300" s="5"/>
      <c r="N300" s="5" t="s">
        <v>1291</v>
      </c>
      <c r="O300" s="6" t="n">
        <v>96220.3</v>
      </c>
      <c r="P300" s="5" t="s">
        <v>1395</v>
      </c>
      <c r="Q300" s="6" t="n">
        <v>96220.3</v>
      </c>
      <c r="R300" s="5" t="s">
        <v>1396</v>
      </c>
      <c r="S300" s="5" t="s">
        <v>1397</v>
      </c>
      <c r="T300" s="5" t="s">
        <v>44</v>
      </c>
      <c r="U300" s="5" t="s">
        <v>1398</v>
      </c>
      <c r="V300" s="5" t="n">
        <v>-3.759399</v>
      </c>
      <c r="W300" s="5" t="n">
        <v>-38.520926</v>
      </c>
    </row>
    <row r="301" customFormat="false" ht="23.25" hidden="false" customHeight="true" outlineLevel="0" collapsed="false">
      <c r="A301" s="5" t="s">
        <v>1399</v>
      </c>
      <c r="B301" s="5" t="s">
        <v>36</v>
      </c>
      <c r="C301" s="5" t="s">
        <v>1400</v>
      </c>
      <c r="D301" s="5" t="s">
        <v>1401</v>
      </c>
      <c r="E301" s="5" t="s">
        <v>374</v>
      </c>
      <c r="F301" s="5" t="n">
        <v>61</v>
      </c>
      <c r="G301" s="5" t="s">
        <v>330</v>
      </c>
      <c r="H301" s="5" t="n">
        <v>9</v>
      </c>
      <c r="I301" s="5" t="n">
        <v>32</v>
      </c>
      <c r="J301" s="5" t="s">
        <v>619</v>
      </c>
      <c r="K301" s="5" t="n">
        <v>11</v>
      </c>
      <c r="L301" s="5" t="s">
        <v>44</v>
      </c>
      <c r="M301" s="5" t="s">
        <v>97</v>
      </c>
      <c r="N301" s="5" t="s">
        <v>569</v>
      </c>
      <c r="O301" s="5"/>
      <c r="P301" s="5"/>
      <c r="Q301" s="5"/>
      <c r="R301" s="5"/>
      <c r="S301" s="5"/>
      <c r="T301" s="5" t="s">
        <v>44</v>
      </c>
      <c r="U301" s="5" t="s">
        <v>1402</v>
      </c>
      <c r="V301" s="5" t="n">
        <v>-3.855174</v>
      </c>
      <c r="W301" s="5" t="n">
        <v>-38.519359</v>
      </c>
    </row>
    <row r="302" customFormat="false" ht="23.25" hidden="false" customHeight="true" outlineLevel="0" collapsed="false">
      <c r="A302" s="5" t="s">
        <v>1403</v>
      </c>
      <c r="B302" s="5" t="s">
        <v>36</v>
      </c>
      <c r="C302" s="5" t="s">
        <v>1404</v>
      </c>
      <c r="D302" s="5" t="s">
        <v>1405</v>
      </c>
      <c r="E302" s="5" t="s">
        <v>727</v>
      </c>
      <c r="F302" s="5" t="n">
        <v>75</v>
      </c>
      <c r="G302" s="5" t="s">
        <v>96</v>
      </c>
      <c r="H302" s="5" t="n">
        <v>11</v>
      </c>
      <c r="I302" s="5" t="n">
        <v>38</v>
      </c>
      <c r="J302" s="5" t="s">
        <v>619</v>
      </c>
      <c r="K302" s="5" t="n">
        <v>11</v>
      </c>
      <c r="L302" s="5" t="s">
        <v>44</v>
      </c>
      <c r="M302" s="5" t="s">
        <v>97</v>
      </c>
      <c r="N302" s="5" t="s">
        <v>569</v>
      </c>
      <c r="O302" s="5"/>
      <c r="P302" s="5"/>
      <c r="Q302" s="5"/>
      <c r="R302" s="5"/>
      <c r="S302" s="5"/>
      <c r="T302" s="5" t="s">
        <v>44</v>
      </c>
      <c r="U302" s="5" t="s">
        <v>1406</v>
      </c>
      <c r="V302" s="5" t="n">
        <v>-3.771432</v>
      </c>
      <c r="W302" s="5" t="n">
        <v>-38.607203</v>
      </c>
    </row>
    <row r="303" customFormat="false" ht="34.5" hidden="false" customHeight="true" outlineLevel="0" collapsed="false">
      <c r="A303" s="5" t="s">
        <v>1407</v>
      </c>
      <c r="B303" s="5" t="s">
        <v>275</v>
      </c>
      <c r="C303" s="5" t="s">
        <v>1408</v>
      </c>
      <c r="D303" s="5" t="s">
        <v>1409</v>
      </c>
      <c r="E303" s="5" t="s">
        <v>287</v>
      </c>
      <c r="F303" s="5" t="n">
        <v>33</v>
      </c>
      <c r="G303" s="5" t="s">
        <v>96</v>
      </c>
      <c r="H303" s="5" t="n">
        <v>3</v>
      </c>
      <c r="I303" s="5" t="n">
        <v>12</v>
      </c>
      <c r="J303" s="5" t="s">
        <v>568</v>
      </c>
      <c r="K303" s="5" t="n">
        <v>13</v>
      </c>
      <c r="L303" s="5" t="s">
        <v>44</v>
      </c>
      <c r="M303" s="5" t="s">
        <v>385</v>
      </c>
      <c r="N303" s="5" t="s">
        <v>569</v>
      </c>
      <c r="O303" s="5"/>
      <c r="P303" s="5"/>
      <c r="Q303" s="5"/>
      <c r="R303" s="5"/>
      <c r="S303" s="5"/>
      <c r="T303" s="5" t="s">
        <v>42</v>
      </c>
      <c r="U303" s="5" t="s">
        <v>1410</v>
      </c>
      <c r="V303" s="5" t="n">
        <v>-3.730674</v>
      </c>
      <c r="W303" s="5" t="n">
        <v>-38.570579</v>
      </c>
    </row>
    <row r="304" customFormat="false" ht="23.25" hidden="false" customHeight="true" outlineLevel="0" collapsed="false">
      <c r="A304" s="5" t="s">
        <v>1411</v>
      </c>
      <c r="B304" s="5" t="s">
        <v>52</v>
      </c>
      <c r="C304" s="5" t="s">
        <v>1412</v>
      </c>
      <c r="D304" s="5" t="s">
        <v>1413</v>
      </c>
      <c r="E304" s="5" t="s">
        <v>151</v>
      </c>
      <c r="F304" s="5" t="n">
        <v>35</v>
      </c>
      <c r="G304" s="5" t="s">
        <v>56</v>
      </c>
      <c r="H304" s="5" t="n">
        <v>2</v>
      </c>
      <c r="I304" s="5" t="n">
        <v>10</v>
      </c>
      <c r="J304" s="5" t="s">
        <v>619</v>
      </c>
      <c r="K304" s="5" t="n">
        <v>11</v>
      </c>
      <c r="L304" s="5" t="s">
        <v>44</v>
      </c>
      <c r="M304" s="5" t="s">
        <v>97</v>
      </c>
      <c r="N304" s="5" t="s">
        <v>569</v>
      </c>
      <c r="O304" s="5"/>
      <c r="P304" s="5"/>
      <c r="Q304" s="5"/>
      <c r="R304" s="5"/>
      <c r="S304" s="5"/>
      <c r="T304" s="5" t="s">
        <v>44</v>
      </c>
      <c r="U304" s="5" t="s">
        <v>1414</v>
      </c>
      <c r="V304" s="5" t="n">
        <v>-3.758773</v>
      </c>
      <c r="W304" s="5" t="n">
        <v>-38.506105</v>
      </c>
    </row>
    <row r="305" customFormat="false" ht="23.25" hidden="false" customHeight="true" outlineLevel="0" collapsed="false">
      <c r="A305" s="5" t="s">
        <v>1415</v>
      </c>
      <c r="B305" s="5" t="s">
        <v>52</v>
      </c>
      <c r="C305" s="5" t="s">
        <v>1416</v>
      </c>
      <c r="D305" s="5" t="s">
        <v>1417</v>
      </c>
      <c r="E305" s="5" t="s">
        <v>213</v>
      </c>
      <c r="F305" s="5" t="n">
        <v>100</v>
      </c>
      <c r="G305" s="5" t="s">
        <v>71</v>
      </c>
      <c r="H305" s="5" t="n">
        <v>8</v>
      </c>
      <c r="I305" s="5" t="n">
        <v>19</v>
      </c>
      <c r="J305" s="5" t="s">
        <v>619</v>
      </c>
      <c r="K305" s="5" t="n">
        <v>11</v>
      </c>
      <c r="L305" s="5" t="s">
        <v>42</v>
      </c>
      <c r="M305" s="5"/>
      <c r="N305" s="5" t="s">
        <v>569</v>
      </c>
      <c r="O305" s="5"/>
      <c r="P305" s="5"/>
      <c r="Q305" s="5"/>
      <c r="R305" s="5"/>
      <c r="S305" s="5"/>
      <c r="T305" s="5" t="s">
        <v>44</v>
      </c>
      <c r="U305" s="5" t="s">
        <v>1418</v>
      </c>
      <c r="V305" s="5" t="n">
        <v>-3.784789</v>
      </c>
      <c r="W305" s="5" t="n">
        <v>-38.560734</v>
      </c>
    </row>
    <row r="306" customFormat="false" ht="23.25" hidden="false" customHeight="true" outlineLevel="0" collapsed="false">
      <c r="A306" s="5" t="s">
        <v>1419</v>
      </c>
      <c r="B306" s="5" t="s">
        <v>52</v>
      </c>
      <c r="C306" s="5" t="s">
        <v>1420</v>
      </c>
      <c r="D306" s="5" t="s">
        <v>1421</v>
      </c>
      <c r="E306" s="5" t="s">
        <v>204</v>
      </c>
      <c r="F306" s="5" t="n">
        <v>40</v>
      </c>
      <c r="G306" s="5" t="s">
        <v>96</v>
      </c>
      <c r="H306" s="5" t="n">
        <v>3</v>
      </c>
      <c r="I306" s="5" t="n">
        <v>11</v>
      </c>
      <c r="J306" s="5" t="s">
        <v>568</v>
      </c>
      <c r="K306" s="5" t="n">
        <v>16</v>
      </c>
      <c r="L306" s="5" t="s">
        <v>42</v>
      </c>
      <c r="M306" s="5"/>
      <c r="N306" s="5" t="s">
        <v>569</v>
      </c>
      <c r="O306" s="5"/>
      <c r="P306" s="5"/>
      <c r="Q306" s="5"/>
      <c r="R306" s="5"/>
      <c r="S306" s="5"/>
      <c r="T306" s="5" t="s">
        <v>42</v>
      </c>
      <c r="U306" s="5" t="s">
        <v>1422</v>
      </c>
      <c r="V306" s="5" t="n">
        <v>-3.742198</v>
      </c>
      <c r="W306" s="5" t="n">
        <v>-38.589319</v>
      </c>
    </row>
    <row r="307" customFormat="false" ht="23.25" hidden="false" customHeight="true" outlineLevel="0" collapsed="false">
      <c r="A307" s="5" t="s">
        <v>1423</v>
      </c>
      <c r="B307" s="5" t="s">
        <v>36</v>
      </c>
      <c r="C307" s="5" t="s">
        <v>1424</v>
      </c>
      <c r="D307" s="5" t="s">
        <v>1425</v>
      </c>
      <c r="E307" s="5" t="s">
        <v>1426</v>
      </c>
      <c r="F307" s="5" t="n">
        <v>98</v>
      </c>
      <c r="G307" s="5" t="s">
        <v>71</v>
      </c>
      <c r="H307" s="5" t="n">
        <v>8</v>
      </c>
      <c r="I307" s="5" t="n">
        <v>20</v>
      </c>
      <c r="J307" s="5" t="s">
        <v>568</v>
      </c>
      <c r="K307" s="5" t="n">
        <v>6</v>
      </c>
      <c r="L307" s="5" t="s">
        <v>44</v>
      </c>
      <c r="M307" s="5" t="s">
        <v>1427</v>
      </c>
      <c r="N307" s="5" t="s">
        <v>569</v>
      </c>
      <c r="O307" s="5"/>
      <c r="P307" s="5"/>
      <c r="Q307" s="5"/>
      <c r="R307" s="5"/>
      <c r="S307" s="5"/>
      <c r="T307" s="5" t="s">
        <v>42</v>
      </c>
      <c r="U307" s="5" t="s">
        <v>1428</v>
      </c>
      <c r="V307" s="5" t="n">
        <v>-3.787567</v>
      </c>
      <c r="W307" s="5" t="n">
        <v>-38.525482</v>
      </c>
    </row>
    <row r="308" customFormat="false" ht="23.25" hidden="false" customHeight="true" outlineLevel="0" collapsed="false">
      <c r="A308" s="5" t="s">
        <v>1429</v>
      </c>
      <c r="B308" s="5" t="s">
        <v>275</v>
      </c>
      <c r="C308" s="5" t="s">
        <v>1430</v>
      </c>
      <c r="D308" s="5" t="s">
        <v>1431</v>
      </c>
      <c r="E308" s="5" t="s">
        <v>422</v>
      </c>
      <c r="F308" s="5" t="n">
        <v>68</v>
      </c>
      <c r="G308" s="5" t="s">
        <v>330</v>
      </c>
      <c r="H308" s="5" t="n">
        <v>6</v>
      </c>
      <c r="I308" s="5" t="n">
        <v>30</v>
      </c>
      <c r="J308" s="5" t="s">
        <v>619</v>
      </c>
      <c r="K308" s="5" t="n">
        <v>11</v>
      </c>
      <c r="L308" s="5" t="s">
        <v>44</v>
      </c>
      <c r="M308" s="5" t="s">
        <v>746</v>
      </c>
      <c r="N308" s="5" t="s">
        <v>569</v>
      </c>
      <c r="O308" s="5"/>
      <c r="P308" s="5"/>
      <c r="Q308" s="5"/>
      <c r="R308" s="5"/>
      <c r="S308" s="5"/>
      <c r="T308" s="5" t="s">
        <v>44</v>
      </c>
      <c r="U308" s="5" t="s">
        <v>1432</v>
      </c>
      <c r="V308" s="5" t="n">
        <v>-3.867331</v>
      </c>
      <c r="W308" s="5" t="n">
        <v>-38.494011</v>
      </c>
    </row>
    <row r="309" customFormat="false" ht="23.25" hidden="false" customHeight="true" outlineLevel="0" collapsed="false">
      <c r="A309" s="5" t="s">
        <v>1433</v>
      </c>
      <c r="B309" s="5" t="s">
        <v>300</v>
      </c>
      <c r="C309" s="5" t="s">
        <v>1434</v>
      </c>
      <c r="D309" s="5" t="s">
        <v>1435</v>
      </c>
      <c r="E309" s="5" t="s">
        <v>70</v>
      </c>
      <c r="F309" s="5" t="n">
        <v>89</v>
      </c>
      <c r="G309" s="5" t="s">
        <v>71</v>
      </c>
      <c r="H309" s="5" t="n">
        <v>8</v>
      </c>
      <c r="I309" s="5" t="n">
        <v>21</v>
      </c>
      <c r="J309" s="5" t="s">
        <v>568</v>
      </c>
      <c r="K309" s="5" t="n">
        <v>6</v>
      </c>
      <c r="L309" s="5" t="s">
        <v>42</v>
      </c>
      <c r="M309" s="5"/>
      <c r="N309" s="5" t="s">
        <v>569</v>
      </c>
      <c r="O309" s="5"/>
      <c r="P309" s="5"/>
      <c r="Q309" s="5"/>
      <c r="R309" s="5"/>
      <c r="S309" s="5"/>
      <c r="T309" s="5" t="s">
        <v>42</v>
      </c>
      <c r="U309" s="5" t="s">
        <v>1436</v>
      </c>
      <c r="V309" s="5" t="n">
        <v>-3.830319</v>
      </c>
      <c r="W309" s="5" t="n">
        <v>-38.558624</v>
      </c>
    </row>
    <row r="310" customFormat="false" ht="23.25" hidden="false" customHeight="true" outlineLevel="0" collapsed="false">
      <c r="A310" s="5" t="s">
        <v>1437</v>
      </c>
      <c r="B310" s="5" t="s">
        <v>52</v>
      </c>
      <c r="C310" s="5" t="s">
        <v>1438</v>
      </c>
      <c r="D310" s="5" t="s">
        <v>1439</v>
      </c>
      <c r="E310" s="5" t="s">
        <v>112</v>
      </c>
      <c r="F310" s="5" t="n">
        <v>88</v>
      </c>
      <c r="G310" s="5" t="s">
        <v>71</v>
      </c>
      <c r="H310" s="5" t="n">
        <v>8</v>
      </c>
      <c r="I310" s="5" t="n">
        <v>20</v>
      </c>
      <c r="J310" s="5" t="s">
        <v>568</v>
      </c>
      <c r="K310" s="5" t="n">
        <v>7</v>
      </c>
      <c r="L310" s="5" t="s">
        <v>42</v>
      </c>
      <c r="M310" s="5"/>
      <c r="N310" s="5" t="s">
        <v>569</v>
      </c>
      <c r="O310" s="5"/>
      <c r="P310" s="5"/>
      <c r="Q310" s="5"/>
      <c r="R310" s="5"/>
      <c r="S310" s="5"/>
      <c r="T310" s="5" t="s">
        <v>42</v>
      </c>
      <c r="U310" s="5" t="s">
        <v>1440</v>
      </c>
      <c r="V310" s="5" t="n">
        <v>-3.821944</v>
      </c>
      <c r="W310" s="5" t="n">
        <v>-38.533119</v>
      </c>
    </row>
    <row r="311" customFormat="false" ht="23.25" hidden="false" customHeight="true" outlineLevel="0" collapsed="false">
      <c r="A311" s="5" t="s">
        <v>1441</v>
      </c>
      <c r="B311" s="5" t="s">
        <v>52</v>
      </c>
      <c r="C311" s="5" t="s">
        <v>1442</v>
      </c>
      <c r="D311" s="5" t="s">
        <v>1443</v>
      </c>
      <c r="E311" s="5" t="s">
        <v>213</v>
      </c>
      <c r="F311" s="5" t="n">
        <v>100</v>
      </c>
      <c r="G311" s="5" t="s">
        <v>71</v>
      </c>
      <c r="H311" s="5" t="n">
        <v>8</v>
      </c>
      <c r="I311" s="5" t="n">
        <v>19</v>
      </c>
      <c r="J311" s="5" t="s">
        <v>568</v>
      </c>
      <c r="K311" s="5" t="n">
        <v>8</v>
      </c>
      <c r="L311" s="5" t="s">
        <v>42</v>
      </c>
      <c r="M311" s="5"/>
      <c r="N311" s="5" t="s">
        <v>569</v>
      </c>
      <c r="O311" s="5"/>
      <c r="P311" s="5"/>
      <c r="Q311" s="5"/>
      <c r="R311" s="5"/>
      <c r="S311" s="5"/>
      <c r="T311" s="5" t="s">
        <v>42</v>
      </c>
      <c r="U311" s="5" t="s">
        <v>1444</v>
      </c>
      <c r="V311" s="5" t="n">
        <v>-3.792456</v>
      </c>
      <c r="W311" s="5" t="n">
        <v>-38.543969</v>
      </c>
    </row>
    <row r="312" customFormat="false" ht="23.25" hidden="false" customHeight="true" outlineLevel="0" collapsed="false">
      <c r="A312" s="5" t="s">
        <v>1445</v>
      </c>
      <c r="B312" s="5" t="s">
        <v>52</v>
      </c>
      <c r="C312" s="5" t="s">
        <v>1446</v>
      </c>
      <c r="D312" s="5" t="s">
        <v>1447</v>
      </c>
      <c r="E312" s="5" t="s">
        <v>166</v>
      </c>
      <c r="F312" s="5" t="n">
        <v>84</v>
      </c>
      <c r="G312" s="5" t="s">
        <v>71</v>
      </c>
      <c r="H312" s="5" t="n">
        <v>8</v>
      </c>
      <c r="I312" s="5" t="n">
        <v>20</v>
      </c>
      <c r="J312" s="5" t="s">
        <v>568</v>
      </c>
      <c r="K312" s="5" t="n">
        <v>8</v>
      </c>
      <c r="L312" s="5" t="s">
        <v>42</v>
      </c>
      <c r="M312" s="5"/>
      <c r="N312" s="5" t="s">
        <v>569</v>
      </c>
      <c r="O312" s="5"/>
      <c r="P312" s="5"/>
      <c r="Q312" s="5"/>
      <c r="R312" s="5"/>
      <c r="S312" s="5"/>
      <c r="T312" s="5" t="s">
        <v>42</v>
      </c>
      <c r="U312" s="5" t="s">
        <v>1448</v>
      </c>
      <c r="V312" s="5" t="n">
        <v>-3.798212</v>
      </c>
      <c r="W312" s="5" t="n">
        <v>-38.547312</v>
      </c>
    </row>
    <row r="313" customFormat="false" ht="23.25" hidden="false" customHeight="true" outlineLevel="0" collapsed="false">
      <c r="A313" s="5" t="s">
        <v>1449</v>
      </c>
      <c r="B313" s="5" t="s">
        <v>36</v>
      </c>
      <c r="C313" s="5" t="s">
        <v>1450</v>
      </c>
      <c r="D313" s="5" t="s">
        <v>1451</v>
      </c>
      <c r="E313" s="5" t="s">
        <v>218</v>
      </c>
      <c r="F313" s="5" t="n">
        <v>107</v>
      </c>
      <c r="G313" s="5" t="s">
        <v>71</v>
      </c>
      <c r="H313" s="5" t="n">
        <v>8</v>
      </c>
      <c r="I313" s="5" t="n">
        <v>19</v>
      </c>
      <c r="J313" s="5" t="s">
        <v>568</v>
      </c>
      <c r="K313" s="5" t="n">
        <v>9</v>
      </c>
      <c r="L313" s="5" t="s">
        <v>42</v>
      </c>
      <c r="M313" s="5"/>
      <c r="N313" s="5" t="s">
        <v>569</v>
      </c>
      <c r="O313" s="5"/>
      <c r="P313" s="5"/>
      <c r="Q313" s="5"/>
      <c r="R313" s="5"/>
      <c r="S313" s="5"/>
      <c r="T313" s="5" t="s">
        <v>42</v>
      </c>
      <c r="U313" s="5" t="s">
        <v>1452</v>
      </c>
      <c r="V313" s="5" t="n">
        <v>-3.790397</v>
      </c>
      <c r="W313" s="5" t="n">
        <v>-38.534817</v>
      </c>
    </row>
    <row r="314" customFormat="false" ht="23.25" hidden="false" customHeight="true" outlineLevel="0" collapsed="false">
      <c r="A314" s="5" t="s">
        <v>1453</v>
      </c>
      <c r="B314" s="5" t="s">
        <v>52</v>
      </c>
      <c r="C314" s="5" t="s">
        <v>1454</v>
      </c>
      <c r="D314" s="5" t="s">
        <v>1455</v>
      </c>
      <c r="E314" s="5" t="s">
        <v>70</v>
      </c>
      <c r="F314" s="5" t="n">
        <v>89</v>
      </c>
      <c r="G314" s="5" t="s">
        <v>71</v>
      </c>
      <c r="H314" s="5" t="n">
        <v>8</v>
      </c>
      <c r="I314" s="5" t="n">
        <v>21</v>
      </c>
      <c r="J314" s="5" t="s">
        <v>568</v>
      </c>
      <c r="K314" s="5" t="n">
        <v>9</v>
      </c>
      <c r="L314" s="5" t="s">
        <v>42</v>
      </c>
      <c r="M314" s="5"/>
      <c r="N314" s="5" t="s">
        <v>569</v>
      </c>
      <c r="O314" s="5"/>
      <c r="P314" s="5"/>
      <c r="Q314" s="5"/>
      <c r="R314" s="5"/>
      <c r="S314" s="5"/>
      <c r="T314" s="5" t="s">
        <v>42</v>
      </c>
      <c r="U314" s="5" t="s">
        <v>1456</v>
      </c>
      <c r="V314" s="5" t="n">
        <v>-3.822644</v>
      </c>
      <c r="W314" s="5" t="n">
        <v>-38.554835</v>
      </c>
    </row>
    <row r="315" customFormat="false" ht="23.25" hidden="false" customHeight="true" outlineLevel="0" collapsed="false">
      <c r="A315" s="5" t="s">
        <v>1457</v>
      </c>
      <c r="B315" s="5" t="s">
        <v>52</v>
      </c>
      <c r="C315" s="5" t="s">
        <v>1458</v>
      </c>
      <c r="D315" s="5" t="s">
        <v>1459</v>
      </c>
      <c r="E315" s="5" t="s">
        <v>1394</v>
      </c>
      <c r="F315" s="5" t="n">
        <v>16</v>
      </c>
      <c r="G315" s="5" t="s">
        <v>71</v>
      </c>
      <c r="H315" s="5" t="n">
        <v>4</v>
      </c>
      <c r="I315" s="5" t="n">
        <v>15</v>
      </c>
      <c r="J315" s="5" t="s">
        <v>568</v>
      </c>
      <c r="K315" s="5" t="n">
        <v>9</v>
      </c>
      <c r="L315" s="5" t="s">
        <v>42</v>
      </c>
      <c r="M315" s="5"/>
      <c r="N315" s="5" t="s">
        <v>569</v>
      </c>
      <c r="O315" s="5"/>
      <c r="P315" s="5"/>
      <c r="Q315" s="5"/>
      <c r="R315" s="5"/>
      <c r="S315" s="5"/>
      <c r="T315" s="5" t="s">
        <v>42</v>
      </c>
      <c r="U315" s="5" t="s">
        <v>1460</v>
      </c>
      <c r="V315" s="5" t="n">
        <v>-3.749739</v>
      </c>
      <c r="W315" s="5" t="n">
        <v>-38.521923</v>
      </c>
    </row>
    <row r="316" customFormat="false" ht="23.25" hidden="false" customHeight="true" outlineLevel="0" collapsed="false">
      <c r="A316" s="5" t="s">
        <v>1461</v>
      </c>
      <c r="B316" s="5" t="s">
        <v>36</v>
      </c>
      <c r="C316" s="5" t="s">
        <v>1462</v>
      </c>
      <c r="D316" s="5" t="s">
        <v>1463</v>
      </c>
      <c r="E316" s="5" t="s">
        <v>166</v>
      </c>
      <c r="F316" s="5" t="n">
        <v>84</v>
      </c>
      <c r="G316" s="5" t="s">
        <v>71</v>
      </c>
      <c r="H316" s="5" t="n">
        <v>8</v>
      </c>
      <c r="I316" s="5" t="n">
        <v>20</v>
      </c>
      <c r="J316" s="5" t="s">
        <v>568</v>
      </c>
      <c r="K316" s="5" t="n">
        <v>10</v>
      </c>
      <c r="L316" s="5" t="s">
        <v>42</v>
      </c>
      <c r="M316" s="5"/>
      <c r="N316" s="5" t="s">
        <v>569</v>
      </c>
      <c r="O316" s="5"/>
      <c r="P316" s="5"/>
      <c r="Q316" s="5"/>
      <c r="R316" s="5"/>
      <c r="S316" s="5"/>
      <c r="T316" s="5" t="s">
        <v>42</v>
      </c>
      <c r="U316" s="5" t="s">
        <v>1464</v>
      </c>
      <c r="V316" s="5" t="n">
        <v>-3.806946</v>
      </c>
      <c r="W316" s="5" t="n">
        <v>-38.548424</v>
      </c>
    </row>
    <row r="317" customFormat="false" ht="23.25" hidden="false" customHeight="true" outlineLevel="0" collapsed="false">
      <c r="A317" s="5" t="s">
        <v>1465</v>
      </c>
      <c r="B317" s="5" t="s">
        <v>52</v>
      </c>
      <c r="C317" s="5" t="s">
        <v>1466</v>
      </c>
      <c r="D317" s="5" t="s">
        <v>1467</v>
      </c>
      <c r="E317" s="5" t="s">
        <v>1468</v>
      </c>
      <c r="F317" s="5" t="n">
        <v>99</v>
      </c>
      <c r="G317" s="5" t="s">
        <v>71</v>
      </c>
      <c r="H317" s="5" t="n">
        <v>4</v>
      </c>
      <c r="I317" s="5" t="n">
        <v>17</v>
      </c>
      <c r="J317" s="5" t="s">
        <v>568</v>
      </c>
      <c r="K317" s="5" t="n">
        <v>12</v>
      </c>
      <c r="L317" s="5" t="s">
        <v>44</v>
      </c>
      <c r="M317" s="5" t="s">
        <v>733</v>
      </c>
      <c r="N317" s="5" t="s">
        <v>569</v>
      </c>
      <c r="O317" s="5"/>
      <c r="P317" s="5"/>
      <c r="Q317" s="5"/>
      <c r="R317" s="5"/>
      <c r="S317" s="5"/>
      <c r="T317" s="5" t="s">
        <v>42</v>
      </c>
      <c r="U317" s="5" t="s">
        <v>1469</v>
      </c>
      <c r="V317" s="5" t="n">
        <v>-3.772927</v>
      </c>
      <c r="W317" s="5" t="n">
        <v>-38.558522</v>
      </c>
    </row>
    <row r="318" customFormat="false" ht="23.25" hidden="false" customHeight="true" outlineLevel="0" collapsed="false">
      <c r="A318" s="5" t="s">
        <v>1470</v>
      </c>
      <c r="B318" s="5" t="s">
        <v>275</v>
      </c>
      <c r="C318" s="5" t="s">
        <v>1471</v>
      </c>
      <c r="D318" s="5" t="s">
        <v>1472</v>
      </c>
      <c r="E318" s="5" t="s">
        <v>107</v>
      </c>
      <c r="F318" s="5" t="n">
        <v>115</v>
      </c>
      <c r="G318" s="5" t="s">
        <v>71</v>
      </c>
      <c r="H318" s="5" t="n">
        <v>8</v>
      </c>
      <c r="I318" s="5" t="n">
        <v>21</v>
      </c>
      <c r="J318" s="5" t="s">
        <v>568</v>
      </c>
      <c r="K318" s="5" t="n">
        <v>12</v>
      </c>
      <c r="L318" s="5" t="s">
        <v>44</v>
      </c>
      <c r="M318" s="5" t="s">
        <v>733</v>
      </c>
      <c r="N318" s="5" t="s">
        <v>569</v>
      </c>
      <c r="O318" s="5"/>
      <c r="P318" s="5"/>
      <c r="Q318" s="5"/>
      <c r="R318" s="5"/>
      <c r="S318" s="5"/>
      <c r="T318" s="5" t="s">
        <v>42</v>
      </c>
      <c r="U318" s="5" t="s">
        <v>1473</v>
      </c>
      <c r="V318" s="5" t="n">
        <v>-3.839573</v>
      </c>
      <c r="W318" s="5" t="n">
        <v>-38.571368</v>
      </c>
    </row>
    <row r="319" customFormat="false" ht="34.5" hidden="false" customHeight="true" outlineLevel="0" collapsed="false">
      <c r="A319" s="5" t="s">
        <v>1474</v>
      </c>
      <c r="B319" s="5" t="s">
        <v>275</v>
      </c>
      <c r="C319" s="5" t="s">
        <v>1475</v>
      </c>
      <c r="D319" s="5" t="s">
        <v>1476</v>
      </c>
      <c r="E319" s="5" t="s">
        <v>107</v>
      </c>
      <c r="F319" s="5" t="n">
        <v>115</v>
      </c>
      <c r="G319" s="5" t="s">
        <v>71</v>
      </c>
      <c r="H319" s="5" t="n">
        <v>8</v>
      </c>
      <c r="I319" s="5" t="n">
        <v>21</v>
      </c>
      <c r="J319" s="5" t="s">
        <v>568</v>
      </c>
      <c r="K319" s="5" t="n">
        <v>12</v>
      </c>
      <c r="L319" s="5" t="s">
        <v>44</v>
      </c>
      <c r="M319" s="5" t="s">
        <v>733</v>
      </c>
      <c r="N319" s="5" t="s">
        <v>569</v>
      </c>
      <c r="O319" s="5"/>
      <c r="P319" s="5"/>
      <c r="Q319" s="5"/>
      <c r="R319" s="5"/>
      <c r="S319" s="5"/>
      <c r="T319" s="5" t="s">
        <v>42</v>
      </c>
      <c r="U319" s="5" t="s">
        <v>1477</v>
      </c>
      <c r="V319" s="5" t="n">
        <v>-3.834195</v>
      </c>
      <c r="W319" s="5" t="n">
        <v>-38.568865</v>
      </c>
    </row>
    <row r="320" customFormat="false" ht="34.5" hidden="false" customHeight="true" outlineLevel="0" collapsed="false">
      <c r="A320" s="5" t="s">
        <v>1478</v>
      </c>
      <c r="B320" s="5" t="s">
        <v>52</v>
      </c>
      <c r="C320" s="5" t="s">
        <v>1479</v>
      </c>
      <c r="D320" s="5" t="s">
        <v>1480</v>
      </c>
      <c r="E320" s="5" t="s">
        <v>70</v>
      </c>
      <c r="F320" s="5" t="n">
        <v>89</v>
      </c>
      <c r="G320" s="5" t="s">
        <v>71</v>
      </c>
      <c r="H320" s="5" t="n">
        <v>8</v>
      </c>
      <c r="I320" s="5" t="n">
        <v>21</v>
      </c>
      <c r="J320" s="5" t="s">
        <v>568</v>
      </c>
      <c r="K320" s="5" t="n">
        <v>12</v>
      </c>
      <c r="L320" s="5" t="s">
        <v>44</v>
      </c>
      <c r="M320" s="5" t="s">
        <v>733</v>
      </c>
      <c r="N320" s="5" t="s">
        <v>569</v>
      </c>
      <c r="O320" s="5"/>
      <c r="P320" s="5"/>
      <c r="Q320" s="5"/>
      <c r="R320" s="5"/>
      <c r="S320" s="5"/>
      <c r="T320" s="5" t="s">
        <v>42</v>
      </c>
      <c r="U320" s="5" t="s">
        <v>1481</v>
      </c>
      <c r="V320" s="5" t="n">
        <v>-3.847428</v>
      </c>
      <c r="W320" s="5" t="n">
        <v>-38.553639</v>
      </c>
    </row>
    <row r="321" customFormat="false" ht="23.25" hidden="false" customHeight="true" outlineLevel="0" collapsed="false">
      <c r="A321" s="5" t="s">
        <v>1482</v>
      </c>
      <c r="B321" s="5" t="s">
        <v>275</v>
      </c>
      <c r="C321" s="5" t="s">
        <v>1483</v>
      </c>
      <c r="D321" s="5" t="s">
        <v>1484</v>
      </c>
      <c r="E321" s="5" t="s">
        <v>166</v>
      </c>
      <c r="F321" s="5" t="n">
        <v>84</v>
      </c>
      <c r="G321" s="5" t="s">
        <v>71</v>
      </c>
      <c r="H321" s="5" t="n">
        <v>8</v>
      </c>
      <c r="I321" s="5" t="n">
        <v>20</v>
      </c>
      <c r="J321" s="5" t="s">
        <v>568</v>
      </c>
      <c r="K321" s="5" t="n">
        <v>12</v>
      </c>
      <c r="L321" s="5" t="s">
        <v>44</v>
      </c>
      <c r="M321" s="5" t="s">
        <v>733</v>
      </c>
      <c r="N321" s="5" t="s">
        <v>569</v>
      </c>
      <c r="O321" s="5"/>
      <c r="P321" s="5"/>
      <c r="Q321" s="5"/>
      <c r="R321" s="5"/>
      <c r="S321" s="5"/>
      <c r="T321" s="5" t="s">
        <v>42</v>
      </c>
      <c r="U321" s="5" t="s">
        <v>1485</v>
      </c>
      <c r="V321" s="5" t="n">
        <v>-3.803738</v>
      </c>
      <c r="W321" s="5" t="n">
        <v>-38.551184</v>
      </c>
    </row>
    <row r="322" customFormat="false" ht="23.25" hidden="false" customHeight="true" outlineLevel="0" collapsed="false">
      <c r="A322" s="5" t="s">
        <v>1486</v>
      </c>
      <c r="B322" s="5" t="s">
        <v>52</v>
      </c>
      <c r="C322" s="5" t="s">
        <v>1487</v>
      </c>
      <c r="D322" s="5" t="s">
        <v>1488</v>
      </c>
      <c r="E322" s="5" t="s">
        <v>70</v>
      </c>
      <c r="F322" s="5" t="n">
        <v>89</v>
      </c>
      <c r="G322" s="5" t="s">
        <v>71</v>
      </c>
      <c r="H322" s="5" t="n">
        <v>8</v>
      </c>
      <c r="I322" s="5" t="n">
        <v>21</v>
      </c>
      <c r="J322" s="5" t="s">
        <v>568</v>
      </c>
      <c r="K322" s="5" t="n">
        <v>12</v>
      </c>
      <c r="L322" s="5" t="s">
        <v>44</v>
      </c>
      <c r="M322" s="5" t="s">
        <v>733</v>
      </c>
      <c r="N322" s="5" t="s">
        <v>569</v>
      </c>
      <c r="O322" s="5"/>
      <c r="P322" s="5"/>
      <c r="Q322" s="5"/>
      <c r="R322" s="5"/>
      <c r="S322" s="5"/>
      <c r="T322" s="5" t="s">
        <v>42</v>
      </c>
      <c r="U322" s="5" t="s">
        <v>1489</v>
      </c>
      <c r="V322" s="5" t="n">
        <v>-3.838406</v>
      </c>
      <c r="W322" s="5" t="n">
        <v>-38.551804</v>
      </c>
    </row>
    <row r="323" customFormat="false" ht="23.25" hidden="false" customHeight="true" outlineLevel="0" collapsed="false">
      <c r="A323" s="5" t="s">
        <v>1490</v>
      </c>
      <c r="B323" s="5" t="s">
        <v>52</v>
      </c>
      <c r="C323" s="5" t="s">
        <v>1491</v>
      </c>
      <c r="D323" s="5" t="s">
        <v>1492</v>
      </c>
      <c r="E323" s="5" t="s">
        <v>1077</v>
      </c>
      <c r="F323" s="5" t="n">
        <v>89</v>
      </c>
      <c r="G323" s="5" t="s">
        <v>71</v>
      </c>
      <c r="H323" s="5" t="n">
        <v>4</v>
      </c>
      <c r="I323" s="5" t="n">
        <v>18</v>
      </c>
      <c r="J323" s="5" t="s">
        <v>568</v>
      </c>
      <c r="K323" s="5" t="n">
        <v>12</v>
      </c>
      <c r="L323" s="5" t="s">
        <v>42</v>
      </c>
      <c r="M323" s="5"/>
      <c r="N323" s="5" t="s">
        <v>569</v>
      </c>
      <c r="O323" s="5"/>
      <c r="P323" s="5"/>
      <c r="Q323" s="5"/>
      <c r="R323" s="5"/>
      <c r="S323" s="5"/>
      <c r="T323" s="5" t="s">
        <v>42</v>
      </c>
      <c r="U323" s="5" t="s">
        <v>1493</v>
      </c>
      <c r="V323" s="5" t="n">
        <v>-3.758959</v>
      </c>
      <c r="W323" s="5" t="n">
        <v>-38.523163</v>
      </c>
    </row>
    <row r="324" customFormat="false" ht="23.25" hidden="false" customHeight="true" outlineLevel="0" collapsed="false">
      <c r="A324" s="5" t="s">
        <v>1494</v>
      </c>
      <c r="B324" s="5" t="s">
        <v>52</v>
      </c>
      <c r="C324" s="5" t="s">
        <v>1495</v>
      </c>
      <c r="D324" s="5" t="s">
        <v>145</v>
      </c>
      <c r="E324" s="5" t="s">
        <v>146</v>
      </c>
      <c r="F324" s="5" t="n">
        <v>103</v>
      </c>
      <c r="G324" s="5" t="s">
        <v>71</v>
      </c>
      <c r="H324" s="5" t="n">
        <v>4</v>
      </c>
      <c r="I324" s="5" t="n">
        <v>16</v>
      </c>
      <c r="J324" s="5" t="s">
        <v>568</v>
      </c>
      <c r="K324" s="5" t="n">
        <v>13</v>
      </c>
      <c r="L324" s="5" t="s">
        <v>44</v>
      </c>
      <c r="M324" s="5" t="s">
        <v>746</v>
      </c>
      <c r="N324" s="5" t="s">
        <v>569</v>
      </c>
      <c r="O324" s="5"/>
      <c r="P324" s="5"/>
      <c r="Q324" s="5"/>
      <c r="R324" s="5"/>
      <c r="S324" s="5"/>
      <c r="T324" s="5" t="s">
        <v>42</v>
      </c>
      <c r="U324" s="5" t="s">
        <v>147</v>
      </c>
      <c r="V324" s="5" t="n">
        <v>-3.761419</v>
      </c>
      <c r="W324" s="5" t="n">
        <v>-38.554762</v>
      </c>
    </row>
    <row r="325" customFormat="false" ht="23.25" hidden="false" customHeight="true" outlineLevel="0" collapsed="false">
      <c r="A325" s="5" t="s">
        <v>1496</v>
      </c>
      <c r="B325" s="5" t="s">
        <v>52</v>
      </c>
      <c r="C325" s="5" t="s">
        <v>1497</v>
      </c>
      <c r="D325" s="5" t="s">
        <v>1498</v>
      </c>
      <c r="E325" s="5" t="s">
        <v>1077</v>
      </c>
      <c r="F325" s="5" t="n">
        <v>92</v>
      </c>
      <c r="G325" s="5" t="s">
        <v>71</v>
      </c>
      <c r="H325" s="5" t="n">
        <v>4</v>
      </c>
      <c r="I325" s="5" t="n">
        <v>18</v>
      </c>
      <c r="J325" s="5" t="s">
        <v>568</v>
      </c>
      <c r="K325" s="5" t="n">
        <v>14</v>
      </c>
      <c r="L325" s="5" t="s">
        <v>44</v>
      </c>
      <c r="M325" s="5" t="s">
        <v>97</v>
      </c>
      <c r="N325" s="5" t="s">
        <v>569</v>
      </c>
      <c r="O325" s="5"/>
      <c r="P325" s="5"/>
      <c r="Q325" s="5"/>
      <c r="R325" s="5"/>
      <c r="S325" s="5"/>
      <c r="T325" s="5" t="s">
        <v>42</v>
      </c>
      <c r="U325" s="5" t="s">
        <v>1499</v>
      </c>
      <c r="V325" s="5" t="n">
        <v>-3.773231</v>
      </c>
      <c r="W325" s="5" t="n">
        <v>-38.5281</v>
      </c>
    </row>
    <row r="326" customFormat="false" ht="23.25" hidden="false" customHeight="true" outlineLevel="0" collapsed="false">
      <c r="A326" s="5" t="s">
        <v>1500</v>
      </c>
      <c r="B326" s="5" t="s">
        <v>52</v>
      </c>
      <c r="C326" s="5" t="s">
        <v>1501</v>
      </c>
      <c r="D326" s="5" t="s">
        <v>1502</v>
      </c>
      <c r="E326" s="5" t="s">
        <v>1503</v>
      </c>
      <c r="F326" s="5" t="n">
        <v>13</v>
      </c>
      <c r="G326" s="5" t="s">
        <v>71</v>
      </c>
      <c r="H326" s="5" t="n">
        <v>4</v>
      </c>
      <c r="I326" s="5" t="n">
        <v>16</v>
      </c>
      <c r="J326" s="5" t="s">
        <v>568</v>
      </c>
      <c r="K326" s="5" t="n">
        <v>17</v>
      </c>
      <c r="L326" s="5" t="s">
        <v>44</v>
      </c>
      <c r="M326" s="5" t="s">
        <v>746</v>
      </c>
      <c r="N326" s="5" t="s">
        <v>569</v>
      </c>
      <c r="O326" s="5"/>
      <c r="P326" s="5"/>
      <c r="Q326" s="5"/>
      <c r="R326" s="5"/>
      <c r="S326" s="5"/>
      <c r="T326" s="5" t="s">
        <v>42</v>
      </c>
      <c r="U326" s="5" t="s">
        <v>1504</v>
      </c>
      <c r="V326" s="5" t="n">
        <v>-3.757087</v>
      </c>
      <c r="W326" s="5" t="n">
        <v>-38.549201</v>
      </c>
    </row>
    <row r="327" customFormat="false" ht="23.25" hidden="false" customHeight="true" outlineLevel="0" collapsed="false">
      <c r="A327" s="5" t="s">
        <v>1505</v>
      </c>
      <c r="B327" s="5" t="s">
        <v>52</v>
      </c>
      <c r="C327" s="5" t="s">
        <v>1506</v>
      </c>
      <c r="D327" s="5" t="s">
        <v>1507</v>
      </c>
      <c r="E327" s="5" t="s">
        <v>231</v>
      </c>
      <c r="F327" s="5" t="n">
        <v>76</v>
      </c>
      <c r="G327" s="5" t="s">
        <v>64</v>
      </c>
      <c r="H327" s="5" t="n">
        <v>10</v>
      </c>
      <c r="I327" s="5" t="n">
        <v>34</v>
      </c>
      <c r="J327" s="5" t="s">
        <v>568</v>
      </c>
      <c r="K327" s="5" t="n">
        <v>9</v>
      </c>
      <c r="L327" s="5" t="s">
        <v>42</v>
      </c>
      <c r="M327" s="5"/>
      <c r="N327" s="5" t="s">
        <v>569</v>
      </c>
      <c r="O327" s="5"/>
      <c r="P327" s="5"/>
      <c r="Q327" s="5"/>
      <c r="R327" s="5"/>
      <c r="S327" s="5"/>
      <c r="T327" s="5" t="s">
        <v>42</v>
      </c>
      <c r="U327" s="5" t="s">
        <v>1508</v>
      </c>
      <c r="V327" s="5" t="n">
        <v>-3.811532</v>
      </c>
      <c r="W327" s="5" t="n">
        <v>-38.596455</v>
      </c>
    </row>
    <row r="328" customFormat="false" ht="23.25" hidden="false" customHeight="true" outlineLevel="0" collapsed="false">
      <c r="A328" s="5" t="s">
        <v>1509</v>
      </c>
      <c r="B328" s="5" t="s">
        <v>52</v>
      </c>
      <c r="C328" s="5" t="s">
        <v>1510</v>
      </c>
      <c r="D328" s="5" t="s">
        <v>1511</v>
      </c>
      <c r="E328" s="5" t="s">
        <v>703</v>
      </c>
      <c r="F328" s="5" t="n">
        <v>72</v>
      </c>
      <c r="G328" s="5" t="s">
        <v>64</v>
      </c>
      <c r="H328" s="5" t="n">
        <v>5</v>
      </c>
      <c r="I328" s="5" t="n">
        <v>39</v>
      </c>
      <c r="J328" s="5" t="s">
        <v>568</v>
      </c>
      <c r="K328" s="5" t="n">
        <v>10</v>
      </c>
      <c r="L328" s="5" t="s">
        <v>42</v>
      </c>
      <c r="M328" s="5"/>
      <c r="N328" s="5" t="s">
        <v>569</v>
      </c>
      <c r="O328" s="5"/>
      <c r="P328" s="5"/>
      <c r="Q328" s="5"/>
      <c r="R328" s="5"/>
      <c r="S328" s="5"/>
      <c r="T328" s="5" t="s">
        <v>42</v>
      </c>
      <c r="U328" s="5" t="s">
        <v>1512</v>
      </c>
      <c r="V328" s="5" t="n">
        <v>-3.791817</v>
      </c>
      <c r="W328" s="5" t="n">
        <v>-38.598146</v>
      </c>
    </row>
    <row r="329" customFormat="false" ht="23.25" hidden="false" customHeight="true" outlineLevel="0" collapsed="false">
      <c r="A329" s="5" t="s">
        <v>1513</v>
      </c>
      <c r="B329" s="5" t="s">
        <v>52</v>
      </c>
      <c r="C329" s="5" t="s">
        <v>1514</v>
      </c>
      <c r="D329" s="5" t="s">
        <v>1515</v>
      </c>
      <c r="E329" s="5" t="s">
        <v>171</v>
      </c>
      <c r="F329" s="5" t="n">
        <v>83</v>
      </c>
      <c r="G329" s="5" t="s">
        <v>64</v>
      </c>
      <c r="H329" s="5" t="n">
        <v>10</v>
      </c>
      <c r="I329" s="5" t="n">
        <v>35</v>
      </c>
      <c r="J329" s="5"/>
      <c r="K329" s="5" t="n">
        <v>12</v>
      </c>
      <c r="L329" s="5" t="s">
        <v>42</v>
      </c>
      <c r="M329" s="5"/>
      <c r="N329" s="5" t="s">
        <v>43</v>
      </c>
      <c r="O329" s="5"/>
      <c r="P329" s="5"/>
      <c r="Q329" s="6" t="n">
        <v>0</v>
      </c>
      <c r="R329" s="5"/>
      <c r="S329" s="5"/>
      <c r="T329" s="5" t="s">
        <v>42</v>
      </c>
      <c r="U329" s="5" t="s">
        <v>1516</v>
      </c>
      <c r="V329" s="5" t="n">
        <v>-3.825982</v>
      </c>
      <c r="W329" s="5" t="n">
        <v>-38.580931</v>
      </c>
    </row>
    <row r="330" customFormat="false" ht="23.25" hidden="false" customHeight="true" outlineLevel="0" collapsed="false">
      <c r="A330" s="5" t="s">
        <v>1517</v>
      </c>
      <c r="B330" s="5" t="s">
        <v>52</v>
      </c>
      <c r="C330" s="5" t="s">
        <v>1518</v>
      </c>
      <c r="D330" s="5" t="s">
        <v>1519</v>
      </c>
      <c r="E330" s="5" t="s">
        <v>171</v>
      </c>
      <c r="F330" s="5" t="n">
        <v>83</v>
      </c>
      <c r="G330" s="5" t="s">
        <v>64</v>
      </c>
      <c r="H330" s="5" t="n">
        <v>10</v>
      </c>
      <c r="I330" s="5" t="n">
        <v>35</v>
      </c>
      <c r="J330" s="5"/>
      <c r="K330" s="5" t="n">
        <v>12</v>
      </c>
      <c r="L330" s="5" t="s">
        <v>42</v>
      </c>
      <c r="M330" s="5"/>
      <c r="N330" s="5" t="s">
        <v>43</v>
      </c>
      <c r="O330" s="6" t="n">
        <v>39638.81</v>
      </c>
      <c r="P330" s="5" t="s">
        <v>311</v>
      </c>
      <c r="Q330" s="6" t="n">
        <v>39638.81</v>
      </c>
      <c r="R330" s="5" t="s">
        <v>1520</v>
      </c>
      <c r="S330" s="5"/>
      <c r="T330" s="5" t="s">
        <v>42</v>
      </c>
      <c r="U330" s="5" t="s">
        <v>1521</v>
      </c>
      <c r="V330" s="5" t="n">
        <v>-3.817207</v>
      </c>
      <c r="W330" s="5" t="n">
        <v>-38.569704</v>
      </c>
    </row>
    <row r="331" customFormat="false" ht="23.25" hidden="false" customHeight="true" outlineLevel="0" collapsed="false">
      <c r="A331" s="5" t="s">
        <v>1522</v>
      </c>
      <c r="B331" s="5" t="s">
        <v>275</v>
      </c>
      <c r="C331" s="5" t="s">
        <v>1523</v>
      </c>
      <c r="D331" s="5" t="s">
        <v>1524</v>
      </c>
      <c r="E331" s="5" t="s">
        <v>390</v>
      </c>
      <c r="F331" s="5" t="n">
        <v>73</v>
      </c>
      <c r="G331" s="5" t="s">
        <v>64</v>
      </c>
      <c r="H331" s="5" t="n">
        <v>5</v>
      </c>
      <c r="I331" s="5" t="n">
        <v>39</v>
      </c>
      <c r="J331" s="5" t="s">
        <v>41</v>
      </c>
      <c r="K331" s="5" t="n">
        <v>12</v>
      </c>
      <c r="L331" s="5" t="s">
        <v>44</v>
      </c>
      <c r="M331" s="5" t="s">
        <v>385</v>
      </c>
      <c r="N331" s="5" t="s">
        <v>1291</v>
      </c>
      <c r="O331" s="6" t="n">
        <v>58509.6</v>
      </c>
      <c r="P331" s="5" t="s">
        <v>1525</v>
      </c>
      <c r="Q331" s="6" t="n">
        <v>58509.6</v>
      </c>
      <c r="R331" s="5" t="s">
        <v>1526</v>
      </c>
      <c r="S331" s="5" t="s">
        <v>1527</v>
      </c>
      <c r="T331" s="5" t="s">
        <v>44</v>
      </c>
      <c r="U331" s="5" t="s">
        <v>1528</v>
      </c>
      <c r="V331" s="5" t="n">
        <v>-3.788238</v>
      </c>
      <c r="W331" s="5" t="n">
        <v>-38.589366</v>
      </c>
    </row>
    <row r="332" customFormat="false" ht="23.25" hidden="false" customHeight="true" outlineLevel="0" collapsed="false">
      <c r="A332" s="5" t="s">
        <v>1529</v>
      </c>
      <c r="B332" s="5" t="s">
        <v>275</v>
      </c>
      <c r="C332" s="5" t="s">
        <v>1530</v>
      </c>
      <c r="D332" s="5" t="s">
        <v>1531</v>
      </c>
      <c r="E332" s="5" t="s">
        <v>562</v>
      </c>
      <c r="F332" s="5" t="n">
        <v>19</v>
      </c>
      <c r="G332" s="5" t="s">
        <v>71</v>
      </c>
      <c r="H332" s="5" t="n">
        <v>4</v>
      </c>
      <c r="I332" s="5" t="n">
        <v>16</v>
      </c>
      <c r="J332" s="5" t="s">
        <v>41</v>
      </c>
      <c r="K332" s="5" t="n">
        <v>12</v>
      </c>
      <c r="L332" s="5" t="s">
        <v>44</v>
      </c>
      <c r="M332" s="5" t="s">
        <v>385</v>
      </c>
      <c r="N332" s="5" t="s">
        <v>1291</v>
      </c>
      <c r="O332" s="6" t="n">
        <v>127145.73</v>
      </c>
      <c r="P332" s="5" t="s">
        <v>1532</v>
      </c>
      <c r="Q332" s="6" t="n">
        <v>127145.73</v>
      </c>
      <c r="R332" s="5" t="s">
        <v>1533</v>
      </c>
      <c r="S332" s="5" t="s">
        <v>1534</v>
      </c>
      <c r="T332" s="5" t="s">
        <v>44</v>
      </c>
      <c r="U332" s="5" t="s">
        <v>1535</v>
      </c>
      <c r="V332" s="5" t="n">
        <v>-3.752531</v>
      </c>
      <c r="W332" s="5" t="n">
        <v>-38.537813</v>
      </c>
    </row>
    <row r="333" customFormat="false" ht="23.25" hidden="false" customHeight="true" outlineLevel="0" collapsed="false">
      <c r="A333" s="5" t="s">
        <v>1536</v>
      </c>
      <c r="B333" s="5" t="s">
        <v>52</v>
      </c>
      <c r="C333" s="5" t="s">
        <v>1537</v>
      </c>
      <c r="D333" s="5" t="s">
        <v>155</v>
      </c>
      <c r="E333" s="5" t="s">
        <v>156</v>
      </c>
      <c r="F333" s="5" t="n">
        <v>6</v>
      </c>
      <c r="G333" s="5" t="s">
        <v>40</v>
      </c>
      <c r="H333" s="5" t="n">
        <v>1</v>
      </c>
      <c r="I333" s="5" t="n">
        <v>3</v>
      </c>
      <c r="J333" s="5"/>
      <c r="K333" s="5" t="n">
        <v>12</v>
      </c>
      <c r="L333" s="5" t="s">
        <v>42</v>
      </c>
      <c r="M333" s="5"/>
      <c r="N333" s="5" t="s">
        <v>43</v>
      </c>
      <c r="O333" s="5"/>
      <c r="P333" s="5"/>
      <c r="Q333" s="6" t="n">
        <v>0</v>
      </c>
      <c r="R333" s="5"/>
      <c r="S333" s="5"/>
      <c r="T333" s="5" t="s">
        <v>42</v>
      </c>
      <c r="U333" s="5" t="s">
        <v>157</v>
      </c>
      <c r="V333" s="5" t="n">
        <v>-3.709385</v>
      </c>
      <c r="W333" s="5" t="n">
        <v>-38.582042</v>
      </c>
    </row>
    <row r="334" customFormat="false" ht="34.5" hidden="false" customHeight="true" outlineLevel="0" collapsed="false">
      <c r="A334" s="5" t="s">
        <v>1538</v>
      </c>
      <c r="B334" s="5" t="s">
        <v>275</v>
      </c>
      <c r="C334" s="5" t="s">
        <v>1539</v>
      </c>
      <c r="D334" s="5" t="s">
        <v>1540</v>
      </c>
      <c r="E334" s="5" t="s">
        <v>484</v>
      </c>
      <c r="F334" s="5" t="n">
        <v>85</v>
      </c>
      <c r="G334" s="5" t="s">
        <v>64</v>
      </c>
      <c r="H334" s="5" t="n">
        <v>10</v>
      </c>
      <c r="I334" s="5" t="n">
        <v>34</v>
      </c>
      <c r="J334" s="5" t="s">
        <v>568</v>
      </c>
      <c r="K334" s="5" t="n">
        <v>12</v>
      </c>
      <c r="L334" s="5" t="s">
        <v>44</v>
      </c>
      <c r="M334" s="5" t="s">
        <v>733</v>
      </c>
      <c r="N334" s="5" t="s">
        <v>569</v>
      </c>
      <c r="O334" s="5"/>
      <c r="P334" s="5"/>
      <c r="Q334" s="5"/>
      <c r="R334" s="5"/>
      <c r="S334" s="5"/>
      <c r="T334" s="5" t="s">
        <v>42</v>
      </c>
      <c r="U334" s="5" t="s">
        <v>1541</v>
      </c>
      <c r="V334" s="5" t="n">
        <v>-3.820792</v>
      </c>
      <c r="W334" s="5" t="n">
        <v>-38.603144</v>
      </c>
    </row>
    <row r="335" customFormat="false" ht="23.25" hidden="false" customHeight="true" outlineLevel="0" collapsed="false">
      <c r="A335" s="5" t="s">
        <v>1542</v>
      </c>
      <c r="B335" s="5" t="s">
        <v>52</v>
      </c>
      <c r="C335" s="5" t="s">
        <v>1543</v>
      </c>
      <c r="D335" s="5" t="s">
        <v>1544</v>
      </c>
      <c r="E335" s="5" t="s">
        <v>49</v>
      </c>
      <c r="F335" s="5" t="n">
        <v>18</v>
      </c>
      <c r="G335" s="5" t="s">
        <v>40</v>
      </c>
      <c r="H335" s="5" t="n">
        <v>1</v>
      </c>
      <c r="I335" s="5" t="n">
        <v>5</v>
      </c>
      <c r="J335" s="5"/>
      <c r="K335" s="5" t="n">
        <v>12</v>
      </c>
      <c r="L335" s="5" t="s">
        <v>42</v>
      </c>
      <c r="M335" s="5"/>
      <c r="N335" s="5" t="s">
        <v>43</v>
      </c>
      <c r="O335" s="5"/>
      <c r="P335" s="5"/>
      <c r="Q335" s="6" t="n">
        <v>0</v>
      </c>
      <c r="R335" s="5"/>
      <c r="S335" s="5"/>
      <c r="T335" s="5" t="s">
        <v>42</v>
      </c>
      <c r="U335" s="5" t="s">
        <v>1545</v>
      </c>
      <c r="V335" s="5" t="n">
        <v>-3.72473</v>
      </c>
      <c r="W335" s="5" t="n">
        <v>-38.544545</v>
      </c>
    </row>
    <row r="336" customFormat="false" ht="23.25" hidden="false" customHeight="true" outlineLevel="0" collapsed="false">
      <c r="A336" s="5" t="s">
        <v>1546</v>
      </c>
      <c r="B336" s="5" t="s">
        <v>36</v>
      </c>
      <c r="C336" s="5" t="s">
        <v>1547</v>
      </c>
      <c r="D336" s="5" t="s">
        <v>1548</v>
      </c>
      <c r="E336" s="5" t="s">
        <v>788</v>
      </c>
      <c r="F336" s="5" t="n">
        <v>51</v>
      </c>
      <c r="G336" s="5" t="s">
        <v>330</v>
      </c>
      <c r="H336" s="5" t="n">
        <v>9</v>
      </c>
      <c r="I336" s="5" t="n">
        <v>31</v>
      </c>
      <c r="J336" s="5"/>
      <c r="K336" s="5" t="n">
        <v>12</v>
      </c>
      <c r="L336" s="5" t="s">
        <v>42</v>
      </c>
      <c r="M336" s="5"/>
      <c r="N336" s="5" t="s">
        <v>43</v>
      </c>
      <c r="O336" s="5"/>
      <c r="P336" s="5"/>
      <c r="Q336" s="6" t="n">
        <v>0</v>
      </c>
      <c r="R336" s="5"/>
      <c r="S336" s="5"/>
      <c r="T336" s="5" t="s">
        <v>42</v>
      </c>
      <c r="U336" s="5" t="s">
        <v>1549</v>
      </c>
      <c r="V336" s="5" t="n">
        <v>-3.824034</v>
      </c>
      <c r="W336" s="5" t="n">
        <v>-38.52004</v>
      </c>
    </row>
    <row r="337" customFormat="false" ht="23.25" hidden="false" customHeight="true" outlineLevel="0" collapsed="false">
      <c r="A337" s="5" t="s">
        <v>1550</v>
      </c>
      <c r="B337" s="5" t="s">
        <v>52</v>
      </c>
      <c r="C337" s="5" t="s">
        <v>1551</v>
      </c>
      <c r="D337" s="5" t="s">
        <v>1552</v>
      </c>
      <c r="E337" s="5" t="s">
        <v>447</v>
      </c>
      <c r="F337" s="5" t="n">
        <v>21</v>
      </c>
      <c r="G337" s="5" t="s">
        <v>40</v>
      </c>
      <c r="H337" s="5" t="n">
        <v>1</v>
      </c>
      <c r="I337" s="5" t="n">
        <v>6</v>
      </c>
      <c r="J337" s="5"/>
      <c r="K337" s="5" t="n">
        <v>12</v>
      </c>
      <c r="L337" s="5" t="s">
        <v>42</v>
      </c>
      <c r="M337" s="5"/>
      <c r="N337" s="5" t="s">
        <v>43</v>
      </c>
      <c r="O337" s="5"/>
      <c r="P337" s="5"/>
      <c r="Q337" s="6" t="n">
        <v>0</v>
      </c>
      <c r="R337" s="5"/>
      <c r="S337" s="5"/>
      <c r="T337" s="5" t="s">
        <v>42</v>
      </c>
      <c r="U337" s="5" t="s">
        <v>1553</v>
      </c>
      <c r="V337" s="5" t="n">
        <v>-3.721912</v>
      </c>
      <c r="W337" s="5" t="n">
        <v>-38.583395</v>
      </c>
    </row>
    <row r="338" customFormat="false" ht="23.25" hidden="false" customHeight="true" outlineLevel="0" collapsed="false">
      <c r="A338" s="5" t="s">
        <v>1554</v>
      </c>
      <c r="B338" s="5" t="s">
        <v>52</v>
      </c>
      <c r="C338" s="5" t="s">
        <v>1555</v>
      </c>
      <c r="D338" s="5" t="s">
        <v>1556</v>
      </c>
      <c r="E338" s="5" t="s">
        <v>1213</v>
      </c>
      <c r="F338" s="5" t="n">
        <v>108</v>
      </c>
      <c r="G338" s="5" t="s">
        <v>71</v>
      </c>
      <c r="H338" s="5" t="n">
        <v>4</v>
      </c>
      <c r="I338" s="5" t="n">
        <v>17</v>
      </c>
      <c r="J338" s="5" t="s">
        <v>41</v>
      </c>
      <c r="K338" s="5" t="n">
        <v>12</v>
      </c>
      <c r="L338" s="5" t="s">
        <v>42</v>
      </c>
      <c r="M338" s="5"/>
      <c r="N338" s="5" t="s">
        <v>1291</v>
      </c>
      <c r="O338" s="6" t="n">
        <v>55337.53</v>
      </c>
      <c r="P338" s="5" t="s">
        <v>1557</v>
      </c>
      <c r="Q338" s="6" t="n">
        <v>55337.53</v>
      </c>
      <c r="R338" s="5" t="s">
        <v>1558</v>
      </c>
      <c r="S338" s="5" t="s">
        <v>1559</v>
      </c>
      <c r="T338" s="5" t="s">
        <v>44</v>
      </c>
      <c r="U338" s="5" t="s">
        <v>1560</v>
      </c>
      <c r="V338" s="5" t="n">
        <v>-3.784283</v>
      </c>
      <c r="W338" s="5" t="n">
        <v>-38.576347</v>
      </c>
    </row>
    <row r="339" customFormat="false" ht="23.25" hidden="false" customHeight="true" outlineLevel="0" collapsed="false">
      <c r="A339" s="5" t="s">
        <v>1561</v>
      </c>
      <c r="B339" s="5" t="s">
        <v>52</v>
      </c>
      <c r="C339" s="5" t="s">
        <v>1562</v>
      </c>
      <c r="D339" s="5" t="s">
        <v>1563</v>
      </c>
      <c r="E339" s="5" t="s">
        <v>624</v>
      </c>
      <c r="F339" s="5" t="n">
        <v>27</v>
      </c>
      <c r="G339" s="5" t="s">
        <v>56</v>
      </c>
      <c r="H339" s="5" t="n">
        <v>2</v>
      </c>
      <c r="I339" s="5" t="n">
        <v>8</v>
      </c>
      <c r="J339" s="5" t="s">
        <v>41</v>
      </c>
      <c r="K339" s="5" t="n">
        <v>12</v>
      </c>
      <c r="L339" s="5" t="s">
        <v>42</v>
      </c>
      <c r="M339" s="5"/>
      <c r="N339" s="5" t="s">
        <v>1291</v>
      </c>
      <c r="O339" s="6" t="n">
        <v>26601.87</v>
      </c>
      <c r="P339" s="5" t="s">
        <v>1564</v>
      </c>
      <c r="Q339" s="6" t="n">
        <v>26601.87</v>
      </c>
      <c r="R339" s="5" t="s">
        <v>1565</v>
      </c>
      <c r="S339" s="5" t="s">
        <v>1566</v>
      </c>
      <c r="T339" s="5" t="s">
        <v>44</v>
      </c>
      <c r="U339" s="5" t="s">
        <v>1567</v>
      </c>
      <c r="V339" s="5" t="n">
        <v>-3.737428</v>
      </c>
      <c r="W339" s="5" t="n">
        <v>-38.478149</v>
      </c>
    </row>
    <row r="340" customFormat="false" ht="23.25" hidden="false" customHeight="true" outlineLevel="0" collapsed="false">
      <c r="A340" s="5" t="s">
        <v>1568</v>
      </c>
      <c r="B340" s="5" t="s">
        <v>275</v>
      </c>
      <c r="C340" s="5" t="s">
        <v>1569</v>
      </c>
      <c r="D340" s="5" t="s">
        <v>1570</v>
      </c>
      <c r="E340" s="5" t="s">
        <v>151</v>
      </c>
      <c r="F340" s="5" t="n">
        <v>35</v>
      </c>
      <c r="G340" s="5" t="s">
        <v>56</v>
      </c>
      <c r="H340" s="5" t="n">
        <v>2</v>
      </c>
      <c r="I340" s="5" t="n">
        <v>10</v>
      </c>
      <c r="J340" s="5" t="s">
        <v>41</v>
      </c>
      <c r="K340" s="5" t="n">
        <v>12</v>
      </c>
      <c r="L340" s="5" t="s">
        <v>44</v>
      </c>
      <c r="M340" s="5" t="s">
        <v>385</v>
      </c>
      <c r="N340" s="5" t="s">
        <v>1291</v>
      </c>
      <c r="O340" s="6" t="n">
        <v>75603.82</v>
      </c>
      <c r="P340" s="5" t="s">
        <v>1571</v>
      </c>
      <c r="Q340" s="6" t="n">
        <v>75603.82</v>
      </c>
      <c r="R340" s="5" t="s">
        <v>1572</v>
      </c>
      <c r="S340" s="5" t="s">
        <v>1573</v>
      </c>
      <c r="T340" s="5" t="s">
        <v>44</v>
      </c>
      <c r="U340" s="5" t="s">
        <v>1574</v>
      </c>
      <c r="V340" s="5" t="n">
        <v>-3.755683</v>
      </c>
      <c r="W340" s="5" t="n">
        <v>-38.506166</v>
      </c>
    </row>
    <row r="341" customFormat="false" ht="34.5" hidden="false" customHeight="true" outlineLevel="0" collapsed="false">
      <c r="A341" s="5" t="s">
        <v>1575</v>
      </c>
      <c r="B341" s="5" t="s">
        <v>275</v>
      </c>
      <c r="C341" s="5" t="s">
        <v>1576</v>
      </c>
      <c r="D341" s="5" t="s">
        <v>1577</v>
      </c>
      <c r="E341" s="5" t="s">
        <v>522</v>
      </c>
      <c r="F341" s="5" t="n">
        <v>90</v>
      </c>
      <c r="G341" s="5" t="s">
        <v>64</v>
      </c>
      <c r="H341" s="5" t="n">
        <v>5</v>
      </c>
      <c r="I341" s="5" t="n">
        <v>39</v>
      </c>
      <c r="J341" s="5" t="s">
        <v>568</v>
      </c>
      <c r="K341" s="5" t="n">
        <v>12</v>
      </c>
      <c r="L341" s="5" t="s">
        <v>44</v>
      </c>
      <c r="M341" s="5" t="s">
        <v>733</v>
      </c>
      <c r="N341" s="5" t="s">
        <v>569</v>
      </c>
      <c r="O341" s="5"/>
      <c r="P341" s="5"/>
      <c r="Q341" s="5"/>
      <c r="R341" s="5"/>
      <c r="S341" s="5"/>
      <c r="T341" s="5" t="s">
        <v>42</v>
      </c>
      <c r="U341" s="5" t="s">
        <v>1578</v>
      </c>
      <c r="V341" s="5" t="n">
        <v>-3.805475</v>
      </c>
      <c r="W341" s="5" t="n">
        <v>-38.611871</v>
      </c>
    </row>
    <row r="342" customFormat="false" ht="34.5" hidden="false" customHeight="true" outlineLevel="0" collapsed="false">
      <c r="A342" s="5" t="s">
        <v>1579</v>
      </c>
      <c r="B342" s="5" t="s">
        <v>275</v>
      </c>
      <c r="C342" s="5" t="s">
        <v>1580</v>
      </c>
      <c r="D342" s="5" t="s">
        <v>1581</v>
      </c>
      <c r="E342" s="5" t="s">
        <v>171</v>
      </c>
      <c r="F342" s="5" t="n">
        <v>83</v>
      </c>
      <c r="G342" s="5" t="s">
        <v>64</v>
      </c>
      <c r="H342" s="5" t="n">
        <v>10</v>
      </c>
      <c r="I342" s="5" t="n">
        <v>35</v>
      </c>
      <c r="J342" s="5" t="s">
        <v>568</v>
      </c>
      <c r="K342" s="5" t="n">
        <v>12</v>
      </c>
      <c r="L342" s="5" t="s">
        <v>44</v>
      </c>
      <c r="M342" s="5" t="s">
        <v>733</v>
      </c>
      <c r="N342" s="5" t="s">
        <v>569</v>
      </c>
      <c r="O342" s="5"/>
      <c r="P342" s="5"/>
      <c r="Q342" s="5"/>
      <c r="R342" s="5"/>
      <c r="S342" s="5"/>
      <c r="T342" s="5" t="s">
        <v>42</v>
      </c>
      <c r="U342" s="5" t="s">
        <v>1582</v>
      </c>
      <c r="V342" s="5" t="n">
        <v>-3.822755</v>
      </c>
      <c r="W342" s="5" t="n">
        <v>-38.565759</v>
      </c>
    </row>
    <row r="343" customFormat="false" ht="23.25" hidden="false" customHeight="true" outlineLevel="0" collapsed="false">
      <c r="A343" s="5" t="s">
        <v>1583</v>
      </c>
      <c r="B343" s="5" t="s">
        <v>52</v>
      </c>
      <c r="C343" s="5" t="s">
        <v>1584</v>
      </c>
      <c r="D343" s="5" t="s">
        <v>1585</v>
      </c>
      <c r="E343" s="5" t="s">
        <v>507</v>
      </c>
      <c r="F343" s="5" t="n">
        <v>20</v>
      </c>
      <c r="G343" s="5" t="s">
        <v>40</v>
      </c>
      <c r="H343" s="5" t="n">
        <v>1</v>
      </c>
      <c r="I343" s="5" t="n">
        <v>2</v>
      </c>
      <c r="J343" s="5"/>
      <c r="K343" s="5" t="n">
        <v>12</v>
      </c>
      <c r="L343" s="5" t="s">
        <v>42</v>
      </c>
      <c r="M343" s="5"/>
      <c r="N343" s="5" t="s">
        <v>43</v>
      </c>
      <c r="O343" s="5"/>
      <c r="P343" s="5"/>
      <c r="Q343" s="6" t="n">
        <v>0</v>
      </c>
      <c r="R343" s="5"/>
      <c r="S343" s="5"/>
      <c r="T343" s="5" t="s">
        <v>42</v>
      </c>
      <c r="U343" s="5" t="s">
        <v>1586</v>
      </c>
      <c r="V343" s="5" t="n">
        <v>-3.724647</v>
      </c>
      <c r="W343" s="5" t="n">
        <v>-38.591857</v>
      </c>
    </row>
    <row r="344" customFormat="false" ht="23.25" hidden="false" customHeight="true" outlineLevel="0" collapsed="false">
      <c r="A344" s="5" t="s">
        <v>1587</v>
      </c>
      <c r="B344" s="5" t="s">
        <v>52</v>
      </c>
      <c r="C344" s="5" t="s">
        <v>1588</v>
      </c>
      <c r="D344" s="5" t="s">
        <v>1589</v>
      </c>
      <c r="E344" s="5" t="s">
        <v>70</v>
      </c>
      <c r="F344" s="5" t="n">
        <v>89</v>
      </c>
      <c r="G344" s="5" t="s">
        <v>71</v>
      </c>
      <c r="H344" s="5" t="n">
        <v>8</v>
      </c>
      <c r="I344" s="5" t="n">
        <v>21</v>
      </c>
      <c r="J344" s="5"/>
      <c r="K344" s="5" t="n">
        <v>12</v>
      </c>
      <c r="L344" s="5" t="s">
        <v>42</v>
      </c>
      <c r="M344" s="5"/>
      <c r="N344" s="5" t="s">
        <v>43</v>
      </c>
      <c r="O344" s="5"/>
      <c r="P344" s="5"/>
      <c r="Q344" s="6" t="n">
        <v>0</v>
      </c>
      <c r="R344" s="5"/>
      <c r="S344" s="5"/>
      <c r="T344" s="5" t="s">
        <v>42</v>
      </c>
      <c r="U344" s="5" t="s">
        <v>1590</v>
      </c>
      <c r="V344" s="5" t="n">
        <v>-3.840867</v>
      </c>
      <c r="W344" s="5" t="n">
        <v>-38.55935</v>
      </c>
    </row>
    <row r="345" customFormat="false" ht="23.25" hidden="false" customHeight="true" outlineLevel="0" collapsed="false">
      <c r="A345" s="5" t="s">
        <v>1591</v>
      </c>
      <c r="B345" s="5" t="s">
        <v>52</v>
      </c>
      <c r="C345" s="5" t="s">
        <v>1592</v>
      </c>
      <c r="D345" s="5" t="s">
        <v>120</v>
      </c>
      <c r="E345" s="5" t="s">
        <v>121</v>
      </c>
      <c r="F345" s="5" t="n">
        <v>12</v>
      </c>
      <c r="G345" s="5" t="s">
        <v>40</v>
      </c>
      <c r="H345" s="5" t="n">
        <v>1</v>
      </c>
      <c r="I345" s="5" t="n">
        <v>4</v>
      </c>
      <c r="J345" s="5"/>
      <c r="K345" s="5" t="n">
        <v>12</v>
      </c>
      <c r="L345" s="5" t="s">
        <v>42</v>
      </c>
      <c r="M345" s="5"/>
      <c r="N345" s="5" t="s">
        <v>43</v>
      </c>
      <c r="O345" s="5"/>
      <c r="P345" s="5"/>
      <c r="Q345" s="6" t="n">
        <v>0</v>
      </c>
      <c r="R345" s="5"/>
      <c r="S345" s="5"/>
      <c r="T345" s="5" t="s">
        <v>42</v>
      </c>
      <c r="U345" s="5" t="s">
        <v>122</v>
      </c>
      <c r="V345" s="5" t="n">
        <v>-3.705429</v>
      </c>
      <c r="W345" s="5" t="n">
        <v>-38.564025</v>
      </c>
    </row>
    <row r="346" customFormat="false" ht="23.25" hidden="false" customHeight="true" outlineLevel="0" collapsed="false">
      <c r="A346" s="5" t="s">
        <v>1593</v>
      </c>
      <c r="B346" s="5" t="s">
        <v>52</v>
      </c>
      <c r="C346" s="5" t="s">
        <v>1594</v>
      </c>
      <c r="D346" s="5" t="s">
        <v>1595</v>
      </c>
      <c r="E346" s="5" t="s">
        <v>684</v>
      </c>
      <c r="F346" s="5" t="n">
        <v>3</v>
      </c>
      <c r="G346" s="5" t="s">
        <v>40</v>
      </c>
      <c r="H346" s="5" t="n">
        <v>1</v>
      </c>
      <c r="I346" s="5" t="n">
        <v>6</v>
      </c>
      <c r="J346" s="5"/>
      <c r="K346" s="5" t="n">
        <v>12</v>
      </c>
      <c r="L346" s="5" t="s">
        <v>42</v>
      </c>
      <c r="M346" s="5"/>
      <c r="N346" s="5" t="s">
        <v>43</v>
      </c>
      <c r="O346" s="5"/>
      <c r="P346" s="5"/>
      <c r="Q346" s="6" t="n">
        <v>0</v>
      </c>
      <c r="R346" s="5"/>
      <c r="S346" s="5"/>
      <c r="T346" s="5" t="s">
        <v>42</v>
      </c>
      <c r="U346" s="5" t="s">
        <v>1596</v>
      </c>
      <c r="V346" s="5" t="n">
        <v>-3.711302</v>
      </c>
      <c r="W346" s="5" t="n">
        <v>-38.567551</v>
      </c>
    </row>
    <row r="347" customFormat="false" ht="23.25" hidden="false" customHeight="true" outlineLevel="0" collapsed="false">
      <c r="A347" s="5" t="s">
        <v>1597</v>
      </c>
      <c r="B347" s="5" t="s">
        <v>52</v>
      </c>
      <c r="C347" s="5" t="s">
        <v>1598</v>
      </c>
      <c r="D347" s="5" t="s">
        <v>1599</v>
      </c>
      <c r="E347" s="5" t="s">
        <v>166</v>
      </c>
      <c r="F347" s="5" t="n">
        <v>84</v>
      </c>
      <c r="G347" s="5" t="s">
        <v>71</v>
      </c>
      <c r="H347" s="5" t="n">
        <v>8</v>
      </c>
      <c r="I347" s="5" t="n">
        <v>20</v>
      </c>
      <c r="J347" s="5" t="s">
        <v>41</v>
      </c>
      <c r="K347" s="5" t="n">
        <v>13</v>
      </c>
      <c r="L347" s="5" t="s">
        <v>44</v>
      </c>
      <c r="M347" s="5" t="s">
        <v>97</v>
      </c>
      <c r="N347" s="5" t="s">
        <v>1291</v>
      </c>
      <c r="O347" s="6" t="n">
        <v>111921.85</v>
      </c>
      <c r="P347" s="5" t="s">
        <v>1600</v>
      </c>
      <c r="Q347" s="6" t="n">
        <v>111921.85</v>
      </c>
      <c r="R347" s="5" t="s">
        <v>1601</v>
      </c>
      <c r="S347" s="5" t="s">
        <v>1602</v>
      </c>
      <c r="T347" s="5" t="s">
        <v>44</v>
      </c>
      <c r="U347" s="5" t="s">
        <v>1603</v>
      </c>
      <c r="V347" s="5" t="n">
        <v>-3.820236</v>
      </c>
      <c r="W347" s="5" t="n">
        <v>-38.542752</v>
      </c>
    </row>
    <row r="348" customFormat="false" ht="23.25" hidden="false" customHeight="true" outlineLevel="0" collapsed="false">
      <c r="A348" s="5" t="s">
        <v>1604</v>
      </c>
      <c r="B348" s="5" t="s">
        <v>52</v>
      </c>
      <c r="C348" s="5" t="s">
        <v>1605</v>
      </c>
      <c r="D348" s="5" t="s">
        <v>1606</v>
      </c>
      <c r="E348" s="5" t="s">
        <v>663</v>
      </c>
      <c r="F348" s="5" t="n">
        <v>42</v>
      </c>
      <c r="G348" s="5" t="s">
        <v>96</v>
      </c>
      <c r="H348" s="5" t="n">
        <v>11</v>
      </c>
      <c r="I348" s="5" t="n">
        <v>38</v>
      </c>
      <c r="J348" s="5"/>
      <c r="K348" s="5" t="n">
        <v>12</v>
      </c>
      <c r="L348" s="5" t="s">
        <v>42</v>
      </c>
      <c r="M348" s="5"/>
      <c r="N348" s="5" t="s">
        <v>43</v>
      </c>
      <c r="O348" s="5"/>
      <c r="P348" s="5"/>
      <c r="Q348" s="6" t="n">
        <v>0</v>
      </c>
      <c r="R348" s="5"/>
      <c r="S348" s="5"/>
      <c r="T348" s="5" t="s">
        <v>42</v>
      </c>
      <c r="U348" s="5" t="s">
        <v>1607</v>
      </c>
      <c r="V348" s="5" t="n">
        <v>-3.759483</v>
      </c>
      <c r="W348" s="5" t="n">
        <v>-38.610487</v>
      </c>
    </row>
    <row r="349" customFormat="false" ht="23.25" hidden="false" customHeight="true" outlineLevel="0" collapsed="false">
      <c r="A349" s="5" t="s">
        <v>1608</v>
      </c>
      <c r="B349" s="5" t="s">
        <v>52</v>
      </c>
      <c r="C349" s="5" t="s">
        <v>1609</v>
      </c>
      <c r="D349" s="5" t="s">
        <v>1610</v>
      </c>
      <c r="E349" s="5" t="s">
        <v>1302</v>
      </c>
      <c r="F349" s="5" t="n">
        <v>93</v>
      </c>
      <c r="G349" s="5" t="s">
        <v>330</v>
      </c>
      <c r="H349" s="5" t="n">
        <v>6</v>
      </c>
      <c r="I349" s="5" t="n">
        <v>26</v>
      </c>
      <c r="J349" s="5"/>
      <c r="K349" s="5" t="n">
        <v>12</v>
      </c>
      <c r="L349" s="5" t="s">
        <v>42</v>
      </c>
      <c r="M349" s="5"/>
      <c r="N349" s="5" t="s">
        <v>43</v>
      </c>
      <c r="O349" s="5"/>
      <c r="P349" s="5"/>
      <c r="Q349" s="6" t="n">
        <v>0</v>
      </c>
      <c r="R349" s="5"/>
      <c r="S349" s="5"/>
      <c r="T349" s="5" t="s">
        <v>42</v>
      </c>
      <c r="U349" s="5" t="s">
        <v>1611</v>
      </c>
      <c r="V349" s="5" t="n">
        <v>-3.764556</v>
      </c>
      <c r="W349" s="5" t="n">
        <v>-38.509767</v>
      </c>
    </row>
    <row r="350" customFormat="false" ht="23.25" hidden="false" customHeight="true" outlineLevel="0" collapsed="false">
      <c r="A350" s="5" t="s">
        <v>1612</v>
      </c>
      <c r="B350" s="5" t="s">
        <v>275</v>
      </c>
      <c r="C350" s="5" t="s">
        <v>1613</v>
      </c>
      <c r="D350" s="5" t="s">
        <v>521</v>
      </c>
      <c r="E350" s="5" t="s">
        <v>522</v>
      </c>
      <c r="F350" s="5" t="n">
        <v>90</v>
      </c>
      <c r="G350" s="5" t="s">
        <v>64</v>
      </c>
      <c r="H350" s="5" t="n">
        <v>5</v>
      </c>
      <c r="I350" s="5" t="n">
        <v>39</v>
      </c>
      <c r="J350" s="5" t="s">
        <v>568</v>
      </c>
      <c r="K350" s="5" t="n">
        <v>12</v>
      </c>
      <c r="L350" s="5" t="s">
        <v>44</v>
      </c>
      <c r="M350" s="5" t="s">
        <v>733</v>
      </c>
      <c r="N350" s="5" t="s">
        <v>569</v>
      </c>
      <c r="O350" s="5"/>
      <c r="P350" s="5"/>
      <c r="Q350" s="5"/>
      <c r="R350" s="5"/>
      <c r="S350" s="5"/>
      <c r="T350" s="5" t="s">
        <v>42</v>
      </c>
      <c r="U350" s="5" t="s">
        <v>524</v>
      </c>
      <c r="V350" s="5" t="n">
        <v>-3.807624</v>
      </c>
      <c r="W350" s="5" t="n">
        <v>-38.617719</v>
      </c>
    </row>
    <row r="351" customFormat="false" ht="23.25" hidden="false" customHeight="true" outlineLevel="0" collapsed="false">
      <c r="A351" s="5" t="s">
        <v>1614</v>
      </c>
      <c r="B351" s="5" t="s">
        <v>52</v>
      </c>
      <c r="C351" s="5" t="s">
        <v>1615</v>
      </c>
      <c r="D351" s="5" t="s">
        <v>1616</v>
      </c>
      <c r="E351" s="5" t="s">
        <v>136</v>
      </c>
      <c r="F351" s="5" t="n">
        <v>109</v>
      </c>
      <c r="G351" s="5" t="s">
        <v>71</v>
      </c>
      <c r="H351" s="5" t="n">
        <v>4</v>
      </c>
      <c r="I351" s="5" t="n">
        <v>18</v>
      </c>
      <c r="J351" s="5" t="s">
        <v>41</v>
      </c>
      <c r="K351" s="5" t="n">
        <v>13</v>
      </c>
      <c r="L351" s="5" t="s">
        <v>42</v>
      </c>
      <c r="M351" s="5"/>
      <c r="N351" s="5" t="s">
        <v>1291</v>
      </c>
      <c r="O351" s="6" t="n">
        <v>52352.19</v>
      </c>
      <c r="P351" s="5" t="s">
        <v>1617</v>
      </c>
      <c r="Q351" s="6" t="n">
        <v>52352.19</v>
      </c>
      <c r="R351" s="5" t="s">
        <v>1618</v>
      </c>
      <c r="S351" s="5" t="s">
        <v>1619</v>
      </c>
      <c r="T351" s="5" t="s">
        <v>44</v>
      </c>
      <c r="U351" s="5" t="s">
        <v>1620</v>
      </c>
      <c r="V351" s="5" t="n">
        <v>-3.768475</v>
      </c>
      <c r="W351" s="5" t="n">
        <v>-38.533277</v>
      </c>
    </row>
    <row r="352" customFormat="false" ht="23.25" hidden="false" customHeight="true" outlineLevel="0" collapsed="false">
      <c r="A352" s="5" t="s">
        <v>1621</v>
      </c>
      <c r="B352" s="5" t="s">
        <v>52</v>
      </c>
      <c r="C352" s="5" t="s">
        <v>1622</v>
      </c>
      <c r="D352" s="5" t="s">
        <v>1623</v>
      </c>
      <c r="E352" s="5" t="s">
        <v>1006</v>
      </c>
      <c r="F352" s="5" t="n">
        <v>64</v>
      </c>
      <c r="G352" s="5" t="s">
        <v>56</v>
      </c>
      <c r="H352" s="5" t="n">
        <v>7</v>
      </c>
      <c r="I352" s="5" t="n">
        <v>25</v>
      </c>
      <c r="J352" s="5"/>
      <c r="K352" s="5" t="n">
        <v>12</v>
      </c>
      <c r="L352" s="5" t="s">
        <v>42</v>
      </c>
      <c r="M352" s="5"/>
      <c r="N352" s="5" t="s">
        <v>43</v>
      </c>
      <c r="O352" s="5"/>
      <c r="P352" s="5"/>
      <c r="Q352" s="6" t="n">
        <v>0</v>
      </c>
      <c r="R352" s="5"/>
      <c r="S352" s="5"/>
      <c r="T352" s="5" t="s">
        <v>42</v>
      </c>
      <c r="U352" s="5" t="s">
        <v>1624</v>
      </c>
      <c r="V352" s="5" t="n">
        <v>-3.791952</v>
      </c>
      <c r="W352" s="5" t="n">
        <v>-38.474698</v>
      </c>
    </row>
    <row r="353" customFormat="false" ht="23.25" hidden="false" customHeight="true" outlineLevel="0" collapsed="false">
      <c r="A353" s="5" t="s">
        <v>1625</v>
      </c>
      <c r="B353" s="5" t="s">
        <v>52</v>
      </c>
      <c r="C353" s="5" t="s">
        <v>1626</v>
      </c>
      <c r="D353" s="5" t="s">
        <v>1627</v>
      </c>
      <c r="E353" s="5" t="s">
        <v>663</v>
      </c>
      <c r="F353" s="5" t="n">
        <v>42</v>
      </c>
      <c r="G353" s="5" t="s">
        <v>96</v>
      </c>
      <c r="H353" s="5" t="n">
        <v>11</v>
      </c>
      <c r="I353" s="5" t="n">
        <v>38</v>
      </c>
      <c r="J353" s="5"/>
      <c r="K353" s="5" t="n">
        <v>12</v>
      </c>
      <c r="L353" s="5" t="s">
        <v>42</v>
      </c>
      <c r="M353" s="5"/>
      <c r="N353" s="5" t="s">
        <v>43</v>
      </c>
      <c r="O353" s="5"/>
      <c r="P353" s="5"/>
      <c r="Q353" s="6" t="n">
        <v>0</v>
      </c>
      <c r="R353" s="5"/>
      <c r="S353" s="5"/>
      <c r="T353" s="5" t="s">
        <v>42</v>
      </c>
      <c r="U353" s="5" t="s">
        <v>1628</v>
      </c>
      <c r="V353" s="5" t="n">
        <v>-3.7653</v>
      </c>
      <c r="W353" s="5" t="n">
        <v>-38.604885</v>
      </c>
    </row>
    <row r="354" customFormat="false" ht="23.25" hidden="false" customHeight="true" outlineLevel="0" collapsed="false">
      <c r="A354" s="5" t="s">
        <v>1629</v>
      </c>
      <c r="B354" s="5" t="s">
        <v>275</v>
      </c>
      <c r="C354" s="5" t="s">
        <v>1630</v>
      </c>
      <c r="D354" s="5" t="s">
        <v>1631</v>
      </c>
      <c r="E354" s="5" t="s">
        <v>522</v>
      </c>
      <c r="F354" s="5" t="n">
        <v>90</v>
      </c>
      <c r="G354" s="5" t="s">
        <v>64</v>
      </c>
      <c r="H354" s="5" t="n">
        <v>5</v>
      </c>
      <c r="I354" s="5" t="n">
        <v>39</v>
      </c>
      <c r="J354" s="5" t="s">
        <v>568</v>
      </c>
      <c r="K354" s="5" t="n">
        <v>12</v>
      </c>
      <c r="L354" s="5" t="s">
        <v>44</v>
      </c>
      <c r="M354" s="5" t="s">
        <v>733</v>
      </c>
      <c r="N354" s="5" t="s">
        <v>569</v>
      </c>
      <c r="O354" s="5"/>
      <c r="P354" s="5"/>
      <c r="Q354" s="5"/>
      <c r="R354" s="5"/>
      <c r="S354" s="5"/>
      <c r="T354" s="5" t="s">
        <v>42</v>
      </c>
      <c r="U354" s="5" t="s">
        <v>1632</v>
      </c>
      <c r="V354" s="5" t="n">
        <v>-3.8143</v>
      </c>
      <c r="W354" s="5" t="n">
        <v>-38.614922</v>
      </c>
    </row>
    <row r="355" customFormat="false" ht="23.25" hidden="false" customHeight="true" outlineLevel="0" collapsed="false">
      <c r="A355" s="5" t="s">
        <v>1633</v>
      </c>
      <c r="B355" s="5" t="s">
        <v>52</v>
      </c>
      <c r="C355" s="5" t="s">
        <v>1634</v>
      </c>
      <c r="D355" s="5" t="s">
        <v>1635</v>
      </c>
      <c r="E355" s="5" t="s">
        <v>802</v>
      </c>
      <c r="F355" s="5" t="n">
        <v>34</v>
      </c>
      <c r="G355" s="5" t="s">
        <v>96</v>
      </c>
      <c r="H355" s="5" t="n">
        <v>3</v>
      </c>
      <c r="I355" s="5" t="n">
        <v>14</v>
      </c>
      <c r="J355" s="5"/>
      <c r="K355" s="5" t="n">
        <v>12</v>
      </c>
      <c r="L355" s="5" t="s">
        <v>42</v>
      </c>
      <c r="M355" s="5"/>
      <c r="N355" s="5" t="s">
        <v>43</v>
      </c>
      <c r="O355" s="5"/>
      <c r="P355" s="5"/>
      <c r="Q355" s="6" t="n">
        <v>0</v>
      </c>
      <c r="R355" s="5"/>
      <c r="S355" s="5"/>
      <c r="T355" s="5" t="s">
        <v>42</v>
      </c>
      <c r="U355" s="5" t="s">
        <v>1636</v>
      </c>
      <c r="V355" s="5" t="n">
        <v>-3.745326</v>
      </c>
      <c r="W355" s="5" t="n">
        <v>-38.554406</v>
      </c>
    </row>
    <row r="356" customFormat="false" ht="23.25" hidden="false" customHeight="true" outlineLevel="0" collapsed="false">
      <c r="A356" s="5" t="s">
        <v>1637</v>
      </c>
      <c r="B356" s="5" t="s">
        <v>52</v>
      </c>
      <c r="C356" s="5" t="s">
        <v>1638</v>
      </c>
      <c r="D356" s="5" t="s">
        <v>1639</v>
      </c>
      <c r="E356" s="5" t="s">
        <v>390</v>
      </c>
      <c r="F356" s="5" t="n">
        <v>73</v>
      </c>
      <c r="G356" s="5" t="s">
        <v>64</v>
      </c>
      <c r="H356" s="5" t="n">
        <v>5</v>
      </c>
      <c r="I356" s="5" t="n">
        <v>39</v>
      </c>
      <c r="J356" s="5" t="s">
        <v>41</v>
      </c>
      <c r="K356" s="5" t="n">
        <v>15</v>
      </c>
      <c r="L356" s="5" t="s">
        <v>44</v>
      </c>
      <c r="M356" s="5" t="s">
        <v>97</v>
      </c>
      <c r="N356" s="5" t="s">
        <v>1291</v>
      </c>
      <c r="O356" s="6" t="n">
        <v>25691.05</v>
      </c>
      <c r="P356" s="5" t="s">
        <v>1640</v>
      </c>
      <c r="Q356" s="6" t="n">
        <v>25691.05</v>
      </c>
      <c r="R356" s="5" t="s">
        <v>1641</v>
      </c>
      <c r="S356" s="5" t="s">
        <v>1642</v>
      </c>
      <c r="T356" s="5" t="s">
        <v>44</v>
      </c>
      <c r="U356" s="5" t="s">
        <v>1643</v>
      </c>
      <c r="V356" s="5" t="n">
        <v>-3.774345</v>
      </c>
      <c r="W356" s="5" t="n">
        <v>-38.585955</v>
      </c>
    </row>
    <row r="357" customFormat="false" ht="23.25" hidden="false" customHeight="true" outlineLevel="0" collapsed="false">
      <c r="A357" s="5" t="s">
        <v>1644</v>
      </c>
      <c r="B357" s="5" t="s">
        <v>52</v>
      </c>
      <c r="C357" s="5" t="s">
        <v>1645</v>
      </c>
      <c r="D357" s="5" t="s">
        <v>1646</v>
      </c>
      <c r="E357" s="5" t="s">
        <v>166</v>
      </c>
      <c r="F357" s="5" t="n">
        <v>84</v>
      </c>
      <c r="G357" s="5" t="s">
        <v>71</v>
      </c>
      <c r="H357" s="5" t="n">
        <v>8</v>
      </c>
      <c r="I357" s="5" t="n">
        <v>20</v>
      </c>
      <c r="J357" s="5" t="s">
        <v>41</v>
      </c>
      <c r="K357" s="5" t="n">
        <v>16</v>
      </c>
      <c r="L357" s="5" t="s">
        <v>44</v>
      </c>
      <c r="M357" s="5" t="s">
        <v>97</v>
      </c>
      <c r="N357" s="5" t="s">
        <v>1291</v>
      </c>
      <c r="O357" s="6" t="n">
        <v>75000.21</v>
      </c>
      <c r="P357" s="5" t="s">
        <v>1647</v>
      </c>
      <c r="Q357" s="6" t="n">
        <v>75000.21</v>
      </c>
      <c r="R357" s="5" t="s">
        <v>1648</v>
      </c>
      <c r="S357" s="5" t="s">
        <v>1649</v>
      </c>
      <c r="T357" s="5" t="s">
        <v>44</v>
      </c>
      <c r="U357" s="5" t="s">
        <v>1650</v>
      </c>
      <c r="V357" s="5" t="n">
        <v>-3.80676</v>
      </c>
      <c r="W357" s="5" t="n">
        <v>-38.548862</v>
      </c>
    </row>
    <row r="358" customFormat="false" ht="23.25" hidden="false" customHeight="true" outlineLevel="0" collapsed="false">
      <c r="A358" s="5" t="s">
        <v>1651</v>
      </c>
      <c r="B358" s="5" t="s">
        <v>52</v>
      </c>
      <c r="C358" s="5" t="s">
        <v>1652</v>
      </c>
      <c r="D358" s="5" t="s">
        <v>1653</v>
      </c>
      <c r="E358" s="5" t="s">
        <v>1654</v>
      </c>
      <c r="F358" s="5" t="n">
        <v>55</v>
      </c>
      <c r="G358" s="5" t="s">
        <v>330</v>
      </c>
      <c r="H358" s="5" t="n">
        <v>6</v>
      </c>
      <c r="I358" s="5" t="n">
        <v>30</v>
      </c>
      <c r="J358" s="5"/>
      <c r="K358" s="5" t="n">
        <v>12</v>
      </c>
      <c r="L358" s="5" t="s">
        <v>42</v>
      </c>
      <c r="M358" s="5"/>
      <c r="N358" s="5" t="s">
        <v>43</v>
      </c>
      <c r="O358" s="5"/>
      <c r="P358" s="5"/>
      <c r="Q358" s="6" t="n">
        <v>0</v>
      </c>
      <c r="R358" s="5"/>
      <c r="S358" s="5"/>
      <c r="T358" s="5" t="s">
        <v>42</v>
      </c>
      <c r="U358" s="5" t="s">
        <v>1655</v>
      </c>
      <c r="V358" s="5" t="n">
        <v>-3.847403</v>
      </c>
      <c r="W358" s="5" t="n">
        <v>-38.476122</v>
      </c>
    </row>
    <row r="359" customFormat="false" ht="34.5" hidden="false" customHeight="true" outlineLevel="0" collapsed="false">
      <c r="A359" s="5" t="s">
        <v>1656</v>
      </c>
      <c r="B359" s="5" t="s">
        <v>275</v>
      </c>
      <c r="C359" s="5" t="s">
        <v>1657</v>
      </c>
      <c r="D359" s="5" t="s">
        <v>1658</v>
      </c>
      <c r="E359" s="5" t="s">
        <v>484</v>
      </c>
      <c r="F359" s="5" t="n">
        <v>85</v>
      </c>
      <c r="G359" s="5" t="s">
        <v>64</v>
      </c>
      <c r="H359" s="5" t="n">
        <v>10</v>
      </c>
      <c r="I359" s="5" t="n">
        <v>34</v>
      </c>
      <c r="J359" s="5" t="s">
        <v>568</v>
      </c>
      <c r="K359" s="5" t="n">
        <v>12</v>
      </c>
      <c r="L359" s="5" t="s">
        <v>44</v>
      </c>
      <c r="M359" s="5" t="s">
        <v>733</v>
      </c>
      <c r="N359" s="5" t="s">
        <v>569</v>
      </c>
      <c r="O359" s="5"/>
      <c r="P359" s="5"/>
      <c r="Q359" s="5"/>
      <c r="R359" s="5"/>
      <c r="S359" s="5"/>
      <c r="T359" s="5" t="s">
        <v>42</v>
      </c>
      <c r="U359" s="5" t="s">
        <v>1659</v>
      </c>
      <c r="V359" s="5" t="n">
        <v>-3.826482</v>
      </c>
      <c r="W359" s="5" t="n">
        <v>-38.593358</v>
      </c>
    </row>
    <row r="360" customFormat="false" ht="23.25" hidden="false" customHeight="true" outlineLevel="0" collapsed="false">
      <c r="A360" s="5" t="s">
        <v>1660</v>
      </c>
      <c r="B360" s="5" t="s">
        <v>52</v>
      </c>
      <c r="C360" s="5" t="s">
        <v>1661</v>
      </c>
      <c r="D360" s="5" t="s">
        <v>1662</v>
      </c>
      <c r="E360" s="5" t="s">
        <v>81</v>
      </c>
      <c r="F360" s="5" t="n">
        <v>78</v>
      </c>
      <c r="G360" s="5" t="s">
        <v>64</v>
      </c>
      <c r="H360" s="5" t="n">
        <v>5</v>
      </c>
      <c r="I360" s="5" t="n">
        <v>39</v>
      </c>
      <c r="J360" s="5" t="s">
        <v>41</v>
      </c>
      <c r="K360" s="5" t="n">
        <v>16</v>
      </c>
      <c r="L360" s="5" t="s">
        <v>42</v>
      </c>
      <c r="M360" s="5"/>
      <c r="N360" s="5" t="s">
        <v>1291</v>
      </c>
      <c r="O360" s="5" t="s">
        <v>1663</v>
      </c>
      <c r="P360" s="5" t="s">
        <v>1664</v>
      </c>
      <c r="Q360" s="6" t="n">
        <v>0</v>
      </c>
      <c r="R360" s="5" t="s">
        <v>728</v>
      </c>
      <c r="S360" s="5" t="s">
        <v>1665</v>
      </c>
      <c r="T360" s="5" t="s">
        <v>44</v>
      </c>
      <c r="U360" s="5" t="s">
        <v>1666</v>
      </c>
      <c r="V360" s="5" t="n">
        <v>-3.793817</v>
      </c>
      <c r="W360" s="5" t="n">
        <v>-38.61551</v>
      </c>
    </row>
    <row r="361" customFormat="false" ht="23.25" hidden="false" customHeight="true" outlineLevel="0" collapsed="false">
      <c r="A361" s="5" t="s">
        <v>1667</v>
      </c>
      <c r="B361" s="5" t="s">
        <v>275</v>
      </c>
      <c r="C361" s="5" t="s">
        <v>1668</v>
      </c>
      <c r="D361" s="5" t="s">
        <v>1669</v>
      </c>
      <c r="E361" s="5" t="s">
        <v>171</v>
      </c>
      <c r="F361" s="5" t="n">
        <v>83</v>
      </c>
      <c r="G361" s="5" t="s">
        <v>64</v>
      </c>
      <c r="H361" s="5" t="n">
        <v>10</v>
      </c>
      <c r="I361" s="5" t="n">
        <v>35</v>
      </c>
      <c r="J361" s="5" t="s">
        <v>568</v>
      </c>
      <c r="K361" s="5" t="n">
        <v>12</v>
      </c>
      <c r="L361" s="5" t="s">
        <v>44</v>
      </c>
      <c r="M361" s="5" t="s">
        <v>733</v>
      </c>
      <c r="N361" s="5" t="s">
        <v>569</v>
      </c>
      <c r="O361" s="5"/>
      <c r="P361" s="5"/>
      <c r="Q361" s="5"/>
      <c r="R361" s="5"/>
      <c r="S361" s="5"/>
      <c r="T361" s="5" t="s">
        <v>42</v>
      </c>
      <c r="U361" s="5" t="s">
        <v>1670</v>
      </c>
      <c r="V361" s="5" t="n">
        <v>-3.827788</v>
      </c>
      <c r="W361" s="5" t="n">
        <v>-38.569538</v>
      </c>
    </row>
    <row r="362" customFormat="false" ht="23.25" hidden="false" customHeight="true" outlineLevel="0" collapsed="false">
      <c r="A362" s="5" t="s">
        <v>1671</v>
      </c>
      <c r="B362" s="5" t="s">
        <v>52</v>
      </c>
      <c r="C362" s="5" t="s">
        <v>1672</v>
      </c>
      <c r="D362" s="5" t="s">
        <v>1673</v>
      </c>
      <c r="E362" s="5" t="s">
        <v>329</v>
      </c>
      <c r="F362" s="5" t="n">
        <v>120</v>
      </c>
      <c r="G362" s="5" t="s">
        <v>330</v>
      </c>
      <c r="H362" s="5" t="n">
        <v>9</v>
      </c>
      <c r="I362" s="5" t="n">
        <v>33</v>
      </c>
      <c r="J362" s="5" t="s">
        <v>41</v>
      </c>
      <c r="K362" s="5" t="n">
        <v>16</v>
      </c>
      <c r="L362" s="5" t="s">
        <v>44</v>
      </c>
      <c r="M362" s="5" t="s">
        <v>97</v>
      </c>
      <c r="N362" s="5" t="s">
        <v>1291</v>
      </c>
      <c r="O362" s="6" t="n">
        <v>176026.84</v>
      </c>
      <c r="P362" s="5" t="s">
        <v>1674</v>
      </c>
      <c r="Q362" s="6" t="n">
        <v>176026.84</v>
      </c>
      <c r="R362" s="5" t="s">
        <v>1675</v>
      </c>
      <c r="S362" s="5" t="s">
        <v>1676</v>
      </c>
      <c r="T362" s="5" t="s">
        <v>44</v>
      </c>
      <c r="U362" s="5" t="s">
        <v>1677</v>
      </c>
      <c r="V362" s="5" t="n">
        <v>-3.845497</v>
      </c>
      <c r="W362" s="5" t="n">
        <v>-38.495</v>
      </c>
    </row>
    <row r="363" customFormat="false" ht="23.25" hidden="false" customHeight="true" outlineLevel="0" collapsed="false">
      <c r="A363" s="5" t="s">
        <v>1678</v>
      </c>
      <c r="B363" s="5" t="s">
        <v>52</v>
      </c>
      <c r="C363" s="5" t="s">
        <v>1679</v>
      </c>
      <c r="D363" s="5" t="s">
        <v>1680</v>
      </c>
      <c r="E363" s="5" t="s">
        <v>793</v>
      </c>
      <c r="F363" s="5" t="n">
        <v>110</v>
      </c>
      <c r="G363" s="5" t="s">
        <v>56</v>
      </c>
      <c r="H363" s="5" t="n">
        <v>2</v>
      </c>
      <c r="I363" s="5" t="n">
        <v>9</v>
      </c>
      <c r="J363" s="5"/>
      <c r="K363" s="5" t="n">
        <v>12</v>
      </c>
      <c r="L363" s="5" t="s">
        <v>42</v>
      </c>
      <c r="M363" s="5"/>
      <c r="N363" s="5" t="s">
        <v>43</v>
      </c>
      <c r="O363" s="5"/>
      <c r="P363" s="5"/>
      <c r="Q363" s="6" t="n">
        <v>0</v>
      </c>
      <c r="R363" s="5"/>
      <c r="S363" s="5"/>
      <c r="T363" s="5" t="s">
        <v>42</v>
      </c>
      <c r="U363" s="5" t="s">
        <v>1681</v>
      </c>
      <c r="V363" s="5" t="n">
        <v>-3.718149</v>
      </c>
      <c r="W363" s="5" t="n">
        <v>-38.463992</v>
      </c>
    </row>
    <row r="364" customFormat="false" ht="23.25" hidden="false" customHeight="true" outlineLevel="0" collapsed="false">
      <c r="A364" s="5" t="s">
        <v>1682</v>
      </c>
      <c r="B364" s="5" t="s">
        <v>52</v>
      </c>
      <c r="C364" s="5" t="s">
        <v>1683</v>
      </c>
      <c r="D364" s="5" t="s">
        <v>1684</v>
      </c>
      <c r="E364" s="5" t="s">
        <v>199</v>
      </c>
      <c r="F364" s="5" t="n">
        <v>39</v>
      </c>
      <c r="G364" s="5" t="s">
        <v>40</v>
      </c>
      <c r="H364" s="5" t="n">
        <v>1</v>
      </c>
      <c r="I364" s="5" t="n">
        <v>2</v>
      </c>
      <c r="J364" s="5" t="s">
        <v>41</v>
      </c>
      <c r="K364" s="5" t="n">
        <v>18</v>
      </c>
      <c r="L364" s="5" t="s">
        <v>44</v>
      </c>
      <c r="M364" s="5" t="s">
        <v>746</v>
      </c>
      <c r="N364" s="5" t="s">
        <v>1291</v>
      </c>
      <c r="O364" s="6" t="n">
        <v>75771.64</v>
      </c>
      <c r="P364" s="5" t="s">
        <v>1685</v>
      </c>
      <c r="Q364" s="6" t="n">
        <v>75771.64</v>
      </c>
      <c r="R364" s="5" t="s">
        <v>1686</v>
      </c>
      <c r="S364" s="5" t="s">
        <v>1687</v>
      </c>
      <c r="T364" s="5" t="s">
        <v>44</v>
      </c>
      <c r="U364" s="5" t="s">
        <v>1688</v>
      </c>
      <c r="V364" s="5" t="n">
        <v>-3.715936</v>
      </c>
      <c r="W364" s="5" t="n">
        <v>-38.598084</v>
      </c>
    </row>
    <row r="365" customFormat="false" ht="23.25" hidden="false" customHeight="true" outlineLevel="0" collapsed="false">
      <c r="A365" s="5" t="s">
        <v>1689</v>
      </c>
      <c r="B365" s="5" t="s">
        <v>36</v>
      </c>
      <c r="C365" s="5" t="s">
        <v>1690</v>
      </c>
      <c r="D365" s="5" t="s">
        <v>1552</v>
      </c>
      <c r="E365" s="5" t="s">
        <v>447</v>
      </c>
      <c r="F365" s="5" t="n">
        <v>21</v>
      </c>
      <c r="G365" s="5" t="s">
        <v>40</v>
      </c>
      <c r="H365" s="5" t="n">
        <v>1</v>
      </c>
      <c r="I365" s="5" t="n">
        <v>6</v>
      </c>
      <c r="J365" s="5"/>
      <c r="K365" s="5" t="n">
        <v>12</v>
      </c>
      <c r="L365" s="5" t="s">
        <v>42</v>
      </c>
      <c r="M365" s="5"/>
      <c r="N365" s="5" t="s">
        <v>43</v>
      </c>
      <c r="O365" s="5"/>
      <c r="P365" s="5"/>
      <c r="Q365" s="6" t="n">
        <v>0</v>
      </c>
      <c r="R365" s="5"/>
      <c r="S365" s="5"/>
      <c r="T365" s="5" t="s">
        <v>42</v>
      </c>
      <c r="U365" s="5" t="s">
        <v>1553</v>
      </c>
      <c r="V365" s="5" t="n">
        <v>-3.722244</v>
      </c>
      <c r="W365" s="5" t="n">
        <v>-38.583443</v>
      </c>
    </row>
    <row r="366" customFormat="false" ht="23.25" hidden="false" customHeight="true" outlineLevel="0" collapsed="false">
      <c r="A366" s="5" t="s">
        <v>1691</v>
      </c>
      <c r="B366" s="5" t="s">
        <v>52</v>
      </c>
      <c r="C366" s="5" t="s">
        <v>1692</v>
      </c>
      <c r="D366" s="5" t="s">
        <v>1693</v>
      </c>
      <c r="E366" s="5" t="s">
        <v>374</v>
      </c>
      <c r="F366" s="5" t="n">
        <v>61</v>
      </c>
      <c r="G366" s="5" t="s">
        <v>330</v>
      </c>
      <c r="H366" s="5" t="n">
        <v>9</v>
      </c>
      <c r="I366" s="5" t="n">
        <v>32</v>
      </c>
      <c r="J366" s="5"/>
      <c r="K366" s="5" t="n">
        <v>12</v>
      </c>
      <c r="L366" s="5" t="s">
        <v>42</v>
      </c>
      <c r="M366" s="5"/>
      <c r="N366" s="5" t="s">
        <v>43</v>
      </c>
      <c r="O366" s="5"/>
      <c r="P366" s="5"/>
      <c r="Q366" s="6" t="n">
        <v>0</v>
      </c>
      <c r="R366" s="5"/>
      <c r="S366" s="5"/>
      <c r="T366" s="5" t="s">
        <v>42</v>
      </c>
      <c r="U366" s="5" t="s">
        <v>1694</v>
      </c>
      <c r="V366" s="5" t="n">
        <v>-3.838489</v>
      </c>
      <c r="W366" s="5" t="n">
        <v>-38.513679</v>
      </c>
    </row>
    <row r="367" customFormat="false" ht="23.25" hidden="false" customHeight="true" outlineLevel="0" collapsed="false">
      <c r="A367" s="5" t="s">
        <v>1695</v>
      </c>
      <c r="B367" s="5" t="s">
        <v>36</v>
      </c>
      <c r="C367" s="5" t="s">
        <v>1696</v>
      </c>
      <c r="D367" s="5" t="s">
        <v>1697</v>
      </c>
      <c r="E367" s="5" t="s">
        <v>180</v>
      </c>
      <c r="F367" s="5" t="n">
        <v>17</v>
      </c>
      <c r="G367" s="5" t="s">
        <v>40</v>
      </c>
      <c r="H367" s="5" t="n">
        <v>1</v>
      </c>
      <c r="I367" s="5" t="n">
        <v>6</v>
      </c>
      <c r="J367" s="5"/>
      <c r="K367" s="5" t="n">
        <v>12</v>
      </c>
      <c r="L367" s="5" t="s">
        <v>42</v>
      </c>
      <c r="M367" s="5"/>
      <c r="N367" s="5" t="s">
        <v>43</v>
      </c>
      <c r="O367" s="5"/>
      <c r="P367" s="5"/>
      <c r="Q367" s="6" t="n">
        <v>0</v>
      </c>
      <c r="R367" s="5"/>
      <c r="S367" s="5"/>
      <c r="T367" s="5" t="s">
        <v>42</v>
      </c>
      <c r="U367" s="5" t="s">
        <v>1698</v>
      </c>
      <c r="V367" s="5" t="n">
        <v>-3.72311</v>
      </c>
      <c r="W367" s="5" t="n">
        <v>-38.570183</v>
      </c>
    </row>
    <row r="368" customFormat="false" ht="34.5" hidden="false" customHeight="true" outlineLevel="0" collapsed="false">
      <c r="A368" s="5" t="s">
        <v>1699</v>
      </c>
      <c r="B368" s="5" t="s">
        <v>275</v>
      </c>
      <c r="C368" s="5" t="s">
        <v>1700</v>
      </c>
      <c r="D368" s="5" t="s">
        <v>1701</v>
      </c>
      <c r="E368" s="5" t="s">
        <v>81</v>
      </c>
      <c r="F368" s="5" t="n">
        <v>78</v>
      </c>
      <c r="G368" s="5" t="s">
        <v>64</v>
      </c>
      <c r="H368" s="5" t="n">
        <v>5</v>
      </c>
      <c r="I368" s="5" t="n">
        <v>39</v>
      </c>
      <c r="J368" s="5" t="s">
        <v>568</v>
      </c>
      <c r="K368" s="5" t="n">
        <v>12</v>
      </c>
      <c r="L368" s="5" t="s">
        <v>44</v>
      </c>
      <c r="M368" s="5" t="s">
        <v>733</v>
      </c>
      <c r="N368" s="5" t="s">
        <v>569</v>
      </c>
      <c r="O368" s="5"/>
      <c r="P368" s="5"/>
      <c r="Q368" s="5"/>
      <c r="R368" s="5"/>
      <c r="S368" s="5"/>
      <c r="T368" s="5" t="s">
        <v>42</v>
      </c>
      <c r="U368" s="5" t="s">
        <v>1702</v>
      </c>
      <c r="V368" s="5" t="n">
        <v>-3.78981</v>
      </c>
      <c r="W368" s="5" t="n">
        <v>-38.619079</v>
      </c>
    </row>
    <row r="369" customFormat="false" ht="23.25" hidden="false" customHeight="true" outlineLevel="0" collapsed="false">
      <c r="A369" s="5" t="s">
        <v>1703</v>
      </c>
      <c r="B369" s="5" t="s">
        <v>52</v>
      </c>
      <c r="C369" s="5" t="s">
        <v>1704</v>
      </c>
      <c r="D369" s="5" t="s">
        <v>1705</v>
      </c>
      <c r="E369" s="5" t="s">
        <v>1048</v>
      </c>
      <c r="F369" s="5" t="n">
        <v>112</v>
      </c>
      <c r="G369" s="5" t="s">
        <v>56</v>
      </c>
      <c r="H369" s="5" t="n">
        <v>7</v>
      </c>
      <c r="I369" s="5" t="n">
        <v>23</v>
      </c>
      <c r="J369" s="5" t="s">
        <v>41</v>
      </c>
      <c r="K369" s="5" t="n">
        <v>20</v>
      </c>
      <c r="L369" s="5" t="s">
        <v>44</v>
      </c>
      <c r="M369" s="5" t="s">
        <v>97</v>
      </c>
      <c r="N369" s="5" t="s">
        <v>1291</v>
      </c>
      <c r="O369" s="6" t="n">
        <v>168147.66</v>
      </c>
      <c r="P369" s="5" t="s">
        <v>1706</v>
      </c>
      <c r="Q369" s="6" t="n">
        <v>168147.66</v>
      </c>
      <c r="R369" s="5" t="s">
        <v>1707</v>
      </c>
      <c r="S369" s="5" t="s">
        <v>1708</v>
      </c>
      <c r="T369" s="5" t="s">
        <v>44</v>
      </c>
      <c r="U369" s="5" t="s">
        <v>1709</v>
      </c>
      <c r="V369" s="5" t="n">
        <v>-3.755658</v>
      </c>
      <c r="W369" s="5" t="n">
        <v>-38.467952</v>
      </c>
    </row>
    <row r="370" customFormat="false" ht="23.25" hidden="false" customHeight="true" outlineLevel="0" collapsed="false">
      <c r="A370" s="5" t="s">
        <v>1710</v>
      </c>
      <c r="B370" s="5" t="s">
        <v>52</v>
      </c>
      <c r="C370" s="5" t="s">
        <v>1711</v>
      </c>
      <c r="D370" s="5" t="s">
        <v>1712</v>
      </c>
      <c r="E370" s="5" t="s">
        <v>390</v>
      </c>
      <c r="F370" s="5" t="n">
        <v>73</v>
      </c>
      <c r="G370" s="5" t="s">
        <v>64</v>
      </c>
      <c r="H370" s="5" t="n">
        <v>5</v>
      </c>
      <c r="I370" s="5" t="n">
        <v>39</v>
      </c>
      <c r="J370" s="5" t="s">
        <v>41</v>
      </c>
      <c r="K370" s="5" t="n">
        <v>24</v>
      </c>
      <c r="L370" s="5" t="s">
        <v>44</v>
      </c>
      <c r="M370" s="5" t="s">
        <v>97</v>
      </c>
      <c r="N370" s="5" t="s">
        <v>1291</v>
      </c>
      <c r="O370" s="6" t="n">
        <v>115318.78</v>
      </c>
      <c r="P370" s="5" t="s">
        <v>1713</v>
      </c>
      <c r="Q370" s="6" t="n">
        <v>115318.78</v>
      </c>
      <c r="R370" s="5" t="s">
        <v>1714</v>
      </c>
      <c r="S370" s="5" t="s">
        <v>1715</v>
      </c>
      <c r="T370" s="5" t="s">
        <v>44</v>
      </c>
      <c r="U370" s="5" t="s">
        <v>1716</v>
      </c>
      <c r="V370" s="5" t="n">
        <v>-3.774664</v>
      </c>
      <c r="W370" s="5" t="n">
        <v>-38.586186</v>
      </c>
    </row>
    <row r="371" customFormat="false" ht="23.25" hidden="false" customHeight="true" outlineLevel="0" collapsed="false">
      <c r="A371" s="5" t="s">
        <v>1717</v>
      </c>
      <c r="B371" s="5" t="s">
        <v>52</v>
      </c>
      <c r="C371" s="5" t="s">
        <v>1718</v>
      </c>
      <c r="D371" s="5" t="s">
        <v>1719</v>
      </c>
      <c r="E371" s="5" t="s">
        <v>70</v>
      </c>
      <c r="F371" s="5" t="n">
        <v>89</v>
      </c>
      <c r="G371" s="5" t="s">
        <v>71</v>
      </c>
      <c r="H371" s="5" t="n">
        <v>8</v>
      </c>
      <c r="I371" s="5" t="n">
        <v>21</v>
      </c>
      <c r="J371" s="5" t="s">
        <v>41</v>
      </c>
      <c r="K371" s="5" t="n">
        <v>8</v>
      </c>
      <c r="L371" s="5" t="s">
        <v>42</v>
      </c>
      <c r="M371" s="5"/>
      <c r="N371" s="5" t="s">
        <v>540</v>
      </c>
      <c r="O371" s="5"/>
      <c r="P371" s="5"/>
      <c r="Q371" s="6" t="n">
        <v>0</v>
      </c>
      <c r="R371" s="5"/>
      <c r="S371" s="5"/>
      <c r="T371" s="5" t="s">
        <v>44</v>
      </c>
      <c r="U371" s="5" t="s">
        <v>1720</v>
      </c>
      <c r="V371" s="5" t="n">
        <v>-3.823604</v>
      </c>
      <c r="W371" s="5" t="n">
        <v>-38.555759</v>
      </c>
    </row>
    <row r="372" customFormat="false" ht="23.25" hidden="false" customHeight="true" outlineLevel="0" collapsed="false">
      <c r="A372" s="5" t="s">
        <v>1721</v>
      </c>
      <c r="B372" s="5" t="s">
        <v>52</v>
      </c>
      <c r="C372" s="5" t="s">
        <v>1722</v>
      </c>
      <c r="D372" s="5" t="s">
        <v>1723</v>
      </c>
      <c r="E372" s="5" t="s">
        <v>1724</v>
      </c>
      <c r="F372" s="5" t="n">
        <v>81</v>
      </c>
      <c r="G372" s="5" t="s">
        <v>64</v>
      </c>
      <c r="H372" s="5" t="n">
        <v>10</v>
      </c>
      <c r="I372" s="5" t="n">
        <v>35</v>
      </c>
      <c r="J372" s="5"/>
      <c r="K372" s="5" t="n">
        <v>13</v>
      </c>
      <c r="L372" s="5" t="s">
        <v>42</v>
      </c>
      <c r="M372" s="5"/>
      <c r="N372" s="5" t="s">
        <v>43</v>
      </c>
      <c r="O372" s="5"/>
      <c r="P372" s="5"/>
      <c r="Q372" s="6" t="n">
        <v>0</v>
      </c>
      <c r="R372" s="5"/>
      <c r="S372" s="5"/>
      <c r="T372" s="5" t="s">
        <v>42</v>
      </c>
      <c r="U372" s="5" t="s">
        <v>1725</v>
      </c>
      <c r="V372" s="5" t="n">
        <v>-3.800967</v>
      </c>
      <c r="W372" s="5" t="n">
        <v>-38.577036</v>
      </c>
    </row>
    <row r="373" customFormat="false" ht="23.25" hidden="false" customHeight="true" outlineLevel="0" collapsed="false">
      <c r="A373" s="5" t="s">
        <v>1726</v>
      </c>
      <c r="B373" s="5" t="s">
        <v>52</v>
      </c>
      <c r="C373" s="5" t="s">
        <v>1727</v>
      </c>
      <c r="D373" s="5" t="s">
        <v>1728</v>
      </c>
      <c r="E373" s="5" t="s">
        <v>63</v>
      </c>
      <c r="F373" s="5" t="n">
        <v>121</v>
      </c>
      <c r="G373" s="5" t="s">
        <v>64</v>
      </c>
      <c r="H373" s="5" t="n">
        <v>10</v>
      </c>
      <c r="I373" s="5" t="n">
        <v>34</v>
      </c>
      <c r="J373" s="5"/>
      <c r="K373" s="5" t="n">
        <v>13</v>
      </c>
      <c r="L373" s="5" t="s">
        <v>42</v>
      </c>
      <c r="M373" s="5"/>
      <c r="N373" s="5" t="s">
        <v>43</v>
      </c>
      <c r="O373" s="5"/>
      <c r="P373" s="5"/>
      <c r="Q373" s="6" t="n">
        <v>0</v>
      </c>
      <c r="R373" s="5"/>
      <c r="S373" s="5"/>
      <c r="T373" s="5" t="s">
        <v>42</v>
      </c>
      <c r="U373" s="5" t="s">
        <v>1729</v>
      </c>
      <c r="V373" s="5" t="n">
        <v>-3.810952</v>
      </c>
      <c r="W373" s="5" t="n">
        <v>-38.584066</v>
      </c>
    </row>
    <row r="374" customFormat="false" ht="23.25" hidden="false" customHeight="true" outlineLevel="0" collapsed="false">
      <c r="A374" s="5" t="s">
        <v>1730</v>
      </c>
      <c r="B374" s="5" t="s">
        <v>52</v>
      </c>
      <c r="C374" s="5" t="s">
        <v>1731</v>
      </c>
      <c r="D374" s="5" t="s">
        <v>1732</v>
      </c>
      <c r="E374" s="5" t="s">
        <v>166</v>
      </c>
      <c r="F374" s="5" t="n">
        <v>84</v>
      </c>
      <c r="G374" s="5" t="s">
        <v>71</v>
      </c>
      <c r="H374" s="5" t="n">
        <v>8</v>
      </c>
      <c r="I374" s="5" t="n">
        <v>20</v>
      </c>
      <c r="J374" s="5"/>
      <c r="K374" s="5" t="n">
        <v>13</v>
      </c>
      <c r="L374" s="5" t="s">
        <v>42</v>
      </c>
      <c r="M374" s="5"/>
      <c r="N374" s="5" t="s">
        <v>43</v>
      </c>
      <c r="O374" s="5"/>
      <c r="P374" s="5"/>
      <c r="Q374" s="6" t="n">
        <v>0</v>
      </c>
      <c r="R374" s="5"/>
      <c r="S374" s="5"/>
      <c r="T374" s="5" t="s">
        <v>42</v>
      </c>
      <c r="U374" s="5" t="s">
        <v>1733</v>
      </c>
      <c r="V374" s="5" t="n">
        <v>-3.801694</v>
      </c>
      <c r="W374" s="5" t="n">
        <v>-38.544442</v>
      </c>
    </row>
    <row r="375" customFormat="false" ht="23.25" hidden="false" customHeight="true" outlineLevel="0" collapsed="false">
      <c r="A375" s="5" t="s">
        <v>1734</v>
      </c>
      <c r="B375" s="5" t="s">
        <v>36</v>
      </c>
      <c r="C375" s="5" t="s">
        <v>1735</v>
      </c>
      <c r="D375" s="5" t="s">
        <v>1736</v>
      </c>
      <c r="E375" s="5" t="s">
        <v>989</v>
      </c>
      <c r="F375" s="5" t="n">
        <v>59</v>
      </c>
      <c r="G375" s="5" t="s">
        <v>330</v>
      </c>
      <c r="H375" s="5" t="n">
        <v>6</v>
      </c>
      <c r="I375" s="5" t="n">
        <v>29</v>
      </c>
      <c r="J375" s="5" t="s">
        <v>568</v>
      </c>
      <c r="K375" s="5" t="n">
        <v>4</v>
      </c>
      <c r="L375" s="5" t="s">
        <v>42</v>
      </c>
      <c r="M375" s="5"/>
      <c r="N375" s="5" t="s">
        <v>569</v>
      </c>
      <c r="O375" s="5"/>
      <c r="P375" s="5"/>
      <c r="Q375" s="5"/>
      <c r="R375" s="5"/>
      <c r="S375" s="5"/>
      <c r="T375" s="5" t="s">
        <v>42</v>
      </c>
      <c r="U375" s="5" t="s">
        <v>1737</v>
      </c>
      <c r="V375" s="5" t="n">
        <v>-3.831058</v>
      </c>
      <c r="W375" s="5" t="n">
        <v>-38.480192</v>
      </c>
    </row>
    <row r="376" customFormat="false" ht="23.25" hidden="false" customHeight="true" outlineLevel="0" collapsed="false">
      <c r="A376" s="5" t="s">
        <v>1738</v>
      </c>
      <c r="B376" s="5" t="s">
        <v>52</v>
      </c>
      <c r="C376" s="5" t="s">
        <v>1739</v>
      </c>
      <c r="D376" s="5" t="s">
        <v>1740</v>
      </c>
      <c r="E376" s="5" t="s">
        <v>1375</v>
      </c>
      <c r="F376" s="5" t="n">
        <v>65</v>
      </c>
      <c r="G376" s="5" t="s">
        <v>330</v>
      </c>
      <c r="H376" s="5" t="n">
        <v>6</v>
      </c>
      <c r="I376" s="5" t="n">
        <v>28</v>
      </c>
      <c r="J376" s="5" t="s">
        <v>619</v>
      </c>
      <c r="K376" s="5" t="n">
        <v>12</v>
      </c>
      <c r="L376" s="5" t="s">
        <v>42</v>
      </c>
      <c r="M376" s="5"/>
      <c r="N376" s="5" t="s">
        <v>569</v>
      </c>
      <c r="O376" s="5"/>
      <c r="P376" s="5"/>
      <c r="Q376" s="5"/>
      <c r="R376" s="5"/>
      <c r="S376" s="5"/>
      <c r="T376" s="5" t="s">
        <v>44</v>
      </c>
      <c r="U376" s="5" t="s">
        <v>1741</v>
      </c>
      <c r="V376" s="5" t="n">
        <v>-3.825532</v>
      </c>
      <c r="W376" s="5" t="n">
        <v>-38.485446</v>
      </c>
    </row>
    <row r="377" customFormat="false" ht="23.25" hidden="false" customHeight="true" outlineLevel="0" collapsed="false">
      <c r="A377" s="5" t="s">
        <v>1742</v>
      </c>
      <c r="B377" s="5" t="s">
        <v>275</v>
      </c>
      <c r="C377" s="5" t="s">
        <v>1743</v>
      </c>
      <c r="D377" s="5" t="s">
        <v>1744</v>
      </c>
      <c r="E377" s="5" t="s">
        <v>343</v>
      </c>
      <c r="F377" s="5" t="n">
        <v>63</v>
      </c>
      <c r="G377" s="5" t="s">
        <v>330</v>
      </c>
      <c r="H377" s="5" t="n">
        <v>6</v>
      </c>
      <c r="I377" s="5" t="n">
        <v>29</v>
      </c>
      <c r="J377" s="5" t="s">
        <v>568</v>
      </c>
      <c r="K377" s="5" t="n">
        <v>5</v>
      </c>
      <c r="L377" s="5" t="s">
        <v>42</v>
      </c>
      <c r="M377" s="5"/>
      <c r="N377" s="5" t="s">
        <v>569</v>
      </c>
      <c r="O377" s="5"/>
      <c r="P377" s="5"/>
      <c r="Q377" s="5"/>
      <c r="R377" s="5"/>
      <c r="S377" s="5"/>
      <c r="T377" s="5" t="s">
        <v>42</v>
      </c>
      <c r="U377" s="5" t="s">
        <v>1745</v>
      </c>
      <c r="V377" s="5" t="n">
        <v>-3.821582</v>
      </c>
      <c r="W377" s="5" t="n">
        <v>-38.472461</v>
      </c>
    </row>
    <row r="378" customFormat="false" ht="23.25" hidden="false" customHeight="true" outlineLevel="0" collapsed="false">
      <c r="A378" s="5" t="s">
        <v>1746</v>
      </c>
      <c r="B378" s="5" t="s">
        <v>52</v>
      </c>
      <c r="C378" s="5" t="s">
        <v>1747</v>
      </c>
      <c r="D378" s="5" t="s">
        <v>1748</v>
      </c>
      <c r="E378" s="5" t="s">
        <v>107</v>
      </c>
      <c r="F378" s="5" t="n">
        <v>115</v>
      </c>
      <c r="G378" s="5" t="s">
        <v>71</v>
      </c>
      <c r="H378" s="5" t="n">
        <v>8</v>
      </c>
      <c r="I378" s="5" t="n">
        <v>21</v>
      </c>
      <c r="J378" s="5" t="s">
        <v>41</v>
      </c>
      <c r="K378" s="5" t="n">
        <v>11</v>
      </c>
      <c r="L378" s="5" t="s">
        <v>42</v>
      </c>
      <c r="M378" s="5"/>
      <c r="N378" s="5" t="s">
        <v>540</v>
      </c>
      <c r="O378" s="5"/>
      <c r="P378" s="5"/>
      <c r="Q378" s="6" t="n">
        <v>0</v>
      </c>
      <c r="R378" s="5"/>
      <c r="S378" s="5"/>
      <c r="T378" s="5" t="s">
        <v>44</v>
      </c>
      <c r="U378" s="5" t="s">
        <v>1749</v>
      </c>
      <c r="V378" s="5" t="n">
        <v>-3.825678</v>
      </c>
      <c r="W378" s="5" t="n">
        <v>-38.57659</v>
      </c>
    </row>
    <row r="379" customFormat="false" ht="23.25" hidden="false" customHeight="true" outlineLevel="0" collapsed="false">
      <c r="A379" s="5" t="s">
        <v>1750</v>
      </c>
      <c r="B379" s="5" t="s">
        <v>275</v>
      </c>
      <c r="C379" s="5" t="s">
        <v>1751</v>
      </c>
      <c r="D379" s="5" t="s">
        <v>1752</v>
      </c>
      <c r="E379" s="5" t="s">
        <v>180</v>
      </c>
      <c r="F379" s="5" t="n">
        <v>17</v>
      </c>
      <c r="G379" s="5" t="s">
        <v>40</v>
      </c>
      <c r="H379" s="5" t="n">
        <v>1</v>
      </c>
      <c r="I379" s="5" t="n">
        <v>6</v>
      </c>
      <c r="J379" s="5" t="s">
        <v>41</v>
      </c>
      <c r="K379" s="5" t="n">
        <v>12</v>
      </c>
      <c r="L379" s="5" t="s">
        <v>42</v>
      </c>
      <c r="M379" s="5"/>
      <c r="N379" s="5" t="s">
        <v>540</v>
      </c>
      <c r="O379" s="5"/>
      <c r="P379" s="5"/>
      <c r="Q379" s="6" t="n">
        <v>0</v>
      </c>
      <c r="R379" s="5"/>
      <c r="S379" s="5"/>
      <c r="T379" s="5" t="s">
        <v>44</v>
      </c>
      <c r="U379" s="5" t="s">
        <v>1753</v>
      </c>
      <c r="V379" s="5" t="n">
        <v>-3.7208</v>
      </c>
      <c r="W379" s="5" t="n">
        <v>-38.571836</v>
      </c>
    </row>
    <row r="380" customFormat="false" ht="23.25" hidden="false" customHeight="true" outlineLevel="0" collapsed="false">
      <c r="A380" s="5" t="s">
        <v>1754</v>
      </c>
      <c r="B380" s="5" t="s">
        <v>275</v>
      </c>
      <c r="C380" s="5" t="s">
        <v>1755</v>
      </c>
      <c r="D380" s="5" t="s">
        <v>1756</v>
      </c>
      <c r="E380" s="5" t="s">
        <v>70</v>
      </c>
      <c r="F380" s="5" t="n">
        <v>89</v>
      </c>
      <c r="G380" s="5" t="s">
        <v>71</v>
      </c>
      <c r="H380" s="5" t="n">
        <v>8</v>
      </c>
      <c r="I380" s="5" t="n">
        <v>21</v>
      </c>
      <c r="J380" s="5" t="s">
        <v>41</v>
      </c>
      <c r="K380" s="5" t="n">
        <v>12</v>
      </c>
      <c r="L380" s="5" t="s">
        <v>42</v>
      </c>
      <c r="M380" s="5"/>
      <c r="N380" s="5" t="s">
        <v>540</v>
      </c>
      <c r="O380" s="5"/>
      <c r="P380" s="5"/>
      <c r="Q380" s="6" t="n">
        <v>0</v>
      </c>
      <c r="R380" s="5"/>
      <c r="S380" s="5"/>
      <c r="T380" s="5" t="s">
        <v>44</v>
      </c>
      <c r="U380" s="5" t="s">
        <v>1757</v>
      </c>
      <c r="V380" s="5" t="n">
        <v>-3.826633</v>
      </c>
      <c r="W380" s="5" t="n">
        <v>-38.554954</v>
      </c>
    </row>
    <row r="381" customFormat="false" ht="23.25" hidden="false" customHeight="true" outlineLevel="0" collapsed="false">
      <c r="A381" s="5" t="s">
        <v>1758</v>
      </c>
      <c r="B381" s="5" t="s">
        <v>52</v>
      </c>
      <c r="C381" s="5" t="s">
        <v>1759</v>
      </c>
      <c r="D381" s="5" t="s">
        <v>1760</v>
      </c>
      <c r="E381" s="5" t="s">
        <v>81</v>
      </c>
      <c r="F381" s="5" t="n">
        <v>78</v>
      </c>
      <c r="G381" s="5" t="s">
        <v>64</v>
      </c>
      <c r="H381" s="5" t="n">
        <v>5</v>
      </c>
      <c r="I381" s="5" t="n">
        <v>39</v>
      </c>
      <c r="J381" s="5"/>
      <c r="K381" s="5" t="n">
        <v>13</v>
      </c>
      <c r="L381" s="5" t="s">
        <v>42</v>
      </c>
      <c r="M381" s="5"/>
      <c r="N381" s="5" t="s">
        <v>43</v>
      </c>
      <c r="O381" s="5"/>
      <c r="P381" s="5"/>
      <c r="Q381" s="6" t="n">
        <v>0</v>
      </c>
      <c r="R381" s="5"/>
      <c r="S381" s="5"/>
      <c r="T381" s="5" t="s">
        <v>42</v>
      </c>
      <c r="U381" s="5" t="s">
        <v>1761</v>
      </c>
      <c r="V381" s="5" t="n">
        <v>-3.79063</v>
      </c>
      <c r="W381" s="5" t="n">
        <v>-38.624774</v>
      </c>
    </row>
    <row r="382" customFormat="false" ht="23.25" hidden="false" customHeight="true" outlineLevel="0" collapsed="false">
      <c r="A382" s="5" t="s">
        <v>1762</v>
      </c>
      <c r="B382" s="5" t="s">
        <v>52</v>
      </c>
      <c r="C382" s="5" t="s">
        <v>1763</v>
      </c>
      <c r="D382" s="5" t="s">
        <v>1764</v>
      </c>
      <c r="E382" s="5" t="s">
        <v>121</v>
      </c>
      <c r="F382" s="5" t="n">
        <v>12</v>
      </c>
      <c r="G382" s="5" t="s">
        <v>40</v>
      </c>
      <c r="H382" s="5" t="n">
        <v>1</v>
      </c>
      <c r="I382" s="5" t="n">
        <v>4</v>
      </c>
      <c r="J382" s="5" t="s">
        <v>619</v>
      </c>
      <c r="K382" s="5" t="n">
        <v>12</v>
      </c>
      <c r="L382" s="5" t="s">
        <v>44</v>
      </c>
      <c r="M382" s="5" t="s">
        <v>97</v>
      </c>
      <c r="N382" s="5" t="s">
        <v>569</v>
      </c>
      <c r="O382" s="5"/>
      <c r="P382" s="5"/>
      <c r="Q382" s="5"/>
      <c r="R382" s="5"/>
      <c r="S382" s="5"/>
      <c r="T382" s="5" t="s">
        <v>44</v>
      </c>
      <c r="U382" s="5" t="s">
        <v>1765</v>
      </c>
      <c r="V382" s="5" t="n">
        <v>-3.708688</v>
      </c>
      <c r="W382" s="5" t="n">
        <v>-38.569916</v>
      </c>
    </row>
    <row r="383" customFormat="false" ht="23.25" hidden="false" customHeight="true" outlineLevel="0" collapsed="false">
      <c r="A383" s="5" t="s">
        <v>1766</v>
      </c>
      <c r="B383" s="5" t="s">
        <v>52</v>
      </c>
      <c r="C383" s="5" t="s">
        <v>1767</v>
      </c>
      <c r="D383" s="5" t="s">
        <v>1768</v>
      </c>
      <c r="E383" s="5" t="s">
        <v>107</v>
      </c>
      <c r="F383" s="5" t="n">
        <v>115</v>
      </c>
      <c r="G383" s="5" t="s">
        <v>71</v>
      </c>
      <c r="H383" s="5" t="n">
        <v>8</v>
      </c>
      <c r="I383" s="5" t="n">
        <v>21</v>
      </c>
      <c r="J383" s="5" t="s">
        <v>41</v>
      </c>
      <c r="K383" s="5" t="n">
        <v>12</v>
      </c>
      <c r="L383" s="5" t="s">
        <v>42</v>
      </c>
      <c r="M383" s="5"/>
      <c r="N383" s="5" t="s">
        <v>540</v>
      </c>
      <c r="O383" s="5"/>
      <c r="P383" s="5"/>
      <c r="Q383" s="6" t="n">
        <v>0</v>
      </c>
      <c r="R383" s="5" t="s">
        <v>728</v>
      </c>
      <c r="S383" s="5" t="s">
        <v>728</v>
      </c>
      <c r="T383" s="5" t="s">
        <v>44</v>
      </c>
      <c r="U383" s="5" t="s">
        <v>1769</v>
      </c>
      <c r="V383" s="5" t="n">
        <v>-3.835344</v>
      </c>
      <c r="W383" s="5" t="n">
        <v>-38.575026</v>
      </c>
    </row>
    <row r="384" customFormat="false" ht="23.25" hidden="false" customHeight="true" outlineLevel="0" collapsed="false">
      <c r="A384" s="5" t="s">
        <v>1770</v>
      </c>
      <c r="B384" s="5" t="s">
        <v>275</v>
      </c>
      <c r="C384" s="5" t="s">
        <v>1771</v>
      </c>
      <c r="D384" s="5" t="s">
        <v>1772</v>
      </c>
      <c r="E384" s="5" t="s">
        <v>390</v>
      </c>
      <c r="F384" s="5" t="n">
        <v>73</v>
      </c>
      <c r="G384" s="5" t="s">
        <v>64</v>
      </c>
      <c r="H384" s="5" t="n">
        <v>5</v>
      </c>
      <c r="I384" s="5" t="n">
        <v>39</v>
      </c>
      <c r="J384" s="5" t="s">
        <v>41</v>
      </c>
      <c r="K384" s="5" t="n">
        <v>13</v>
      </c>
      <c r="L384" s="5" t="s">
        <v>42</v>
      </c>
      <c r="M384" s="5"/>
      <c r="N384" s="5" t="s">
        <v>540</v>
      </c>
      <c r="O384" s="5"/>
      <c r="P384" s="5"/>
      <c r="Q384" s="6" t="n">
        <v>0</v>
      </c>
      <c r="R384" s="5"/>
      <c r="S384" s="5"/>
      <c r="T384" s="5" t="s">
        <v>44</v>
      </c>
      <c r="U384" s="5" t="s">
        <v>1773</v>
      </c>
      <c r="V384" s="5" t="n">
        <v>-3.780082</v>
      </c>
      <c r="W384" s="5" t="n">
        <v>-38.589801</v>
      </c>
    </row>
    <row r="385" customFormat="false" ht="23.25" hidden="false" customHeight="true" outlineLevel="0" collapsed="false">
      <c r="A385" s="5" t="s">
        <v>1774</v>
      </c>
      <c r="B385" s="5" t="s">
        <v>52</v>
      </c>
      <c r="C385" s="5" t="s">
        <v>1775</v>
      </c>
      <c r="D385" s="5" t="s">
        <v>502</v>
      </c>
      <c r="E385" s="5" t="s">
        <v>156</v>
      </c>
      <c r="F385" s="5" t="n">
        <v>6</v>
      </c>
      <c r="G385" s="5" t="s">
        <v>40</v>
      </c>
      <c r="H385" s="5" t="n">
        <v>1</v>
      </c>
      <c r="I385" s="5" t="n">
        <v>3</v>
      </c>
      <c r="J385" s="5"/>
      <c r="K385" s="5" t="n">
        <v>13</v>
      </c>
      <c r="L385" s="5" t="s">
        <v>42</v>
      </c>
      <c r="M385" s="5"/>
      <c r="N385" s="5" t="s">
        <v>43</v>
      </c>
      <c r="O385" s="5"/>
      <c r="P385" s="5"/>
      <c r="Q385" s="6" t="n">
        <v>0</v>
      </c>
      <c r="R385" s="5"/>
      <c r="S385" s="5"/>
      <c r="T385" s="5" t="s">
        <v>42</v>
      </c>
      <c r="U385" s="5" t="s">
        <v>503</v>
      </c>
      <c r="V385" s="5" t="n">
        <v>-3.700496</v>
      </c>
      <c r="W385" s="5" t="n">
        <v>-38.58579</v>
      </c>
    </row>
    <row r="386" customFormat="false" ht="23.25" hidden="false" customHeight="true" outlineLevel="0" collapsed="false">
      <c r="A386" s="5" t="s">
        <v>1776</v>
      </c>
      <c r="B386" s="5" t="s">
        <v>52</v>
      </c>
      <c r="C386" s="5" t="s">
        <v>1777</v>
      </c>
      <c r="D386" s="5" t="s">
        <v>1778</v>
      </c>
      <c r="E386" s="5" t="s">
        <v>81</v>
      </c>
      <c r="F386" s="5" t="n">
        <v>78</v>
      </c>
      <c r="G386" s="5" t="s">
        <v>64</v>
      </c>
      <c r="H386" s="5" t="n">
        <v>5</v>
      </c>
      <c r="I386" s="5" t="n">
        <v>39</v>
      </c>
      <c r="J386" s="5" t="s">
        <v>41</v>
      </c>
      <c r="K386" s="5" t="n">
        <v>13</v>
      </c>
      <c r="L386" s="5" t="s">
        <v>42</v>
      </c>
      <c r="M386" s="5"/>
      <c r="N386" s="5" t="s">
        <v>540</v>
      </c>
      <c r="O386" s="5"/>
      <c r="P386" s="5"/>
      <c r="Q386" s="6" t="n">
        <v>0</v>
      </c>
      <c r="R386" s="5"/>
      <c r="S386" s="5"/>
      <c r="T386" s="5" t="s">
        <v>44</v>
      </c>
      <c r="U386" s="5" t="s">
        <v>1779</v>
      </c>
      <c r="V386" s="5" t="n">
        <v>-3.786327</v>
      </c>
      <c r="W386" s="5" t="n">
        <v>-38.610488</v>
      </c>
    </row>
    <row r="387" customFormat="false" ht="23.25" hidden="false" customHeight="true" outlineLevel="0" collapsed="false">
      <c r="A387" s="5" t="s">
        <v>1780</v>
      </c>
      <c r="B387" s="5" t="s">
        <v>52</v>
      </c>
      <c r="C387" s="5" t="s">
        <v>1781</v>
      </c>
      <c r="D387" s="5" t="s">
        <v>1782</v>
      </c>
      <c r="E387" s="5" t="s">
        <v>390</v>
      </c>
      <c r="F387" s="5" t="n">
        <v>73</v>
      </c>
      <c r="G387" s="5" t="s">
        <v>64</v>
      </c>
      <c r="H387" s="5" t="n">
        <v>5</v>
      </c>
      <c r="I387" s="5" t="n">
        <v>39</v>
      </c>
      <c r="J387" s="5" t="s">
        <v>41</v>
      </c>
      <c r="K387" s="5" t="n">
        <v>13</v>
      </c>
      <c r="L387" s="5" t="s">
        <v>42</v>
      </c>
      <c r="M387" s="5"/>
      <c r="N387" s="5" t="s">
        <v>540</v>
      </c>
      <c r="O387" s="5"/>
      <c r="P387" s="5"/>
      <c r="Q387" s="6" t="n">
        <v>0</v>
      </c>
      <c r="R387" s="5"/>
      <c r="S387" s="5"/>
      <c r="T387" s="5" t="s">
        <v>44</v>
      </c>
      <c r="U387" s="5" t="s">
        <v>1783</v>
      </c>
      <c r="V387" s="5" t="n">
        <v>-3.776647</v>
      </c>
      <c r="W387" s="5" t="n">
        <v>-38.577779</v>
      </c>
    </row>
    <row r="388" customFormat="false" ht="23.25" hidden="false" customHeight="true" outlineLevel="0" collapsed="false">
      <c r="A388" s="5" t="s">
        <v>1784</v>
      </c>
      <c r="B388" s="5" t="s">
        <v>52</v>
      </c>
      <c r="C388" s="5" t="s">
        <v>1785</v>
      </c>
      <c r="D388" s="5" t="s">
        <v>1786</v>
      </c>
      <c r="E388" s="5" t="s">
        <v>156</v>
      </c>
      <c r="F388" s="5" t="n">
        <v>6</v>
      </c>
      <c r="G388" s="5" t="s">
        <v>40</v>
      </c>
      <c r="H388" s="5" t="n">
        <v>1</v>
      </c>
      <c r="I388" s="5" t="n">
        <v>3</v>
      </c>
      <c r="J388" s="5"/>
      <c r="K388" s="5" t="n">
        <v>13</v>
      </c>
      <c r="L388" s="5" t="s">
        <v>42</v>
      </c>
      <c r="M388" s="5"/>
      <c r="N388" s="5" t="s">
        <v>43</v>
      </c>
      <c r="O388" s="5"/>
      <c r="P388" s="5"/>
      <c r="Q388" s="6" t="n">
        <v>0</v>
      </c>
      <c r="R388" s="5"/>
      <c r="S388" s="5"/>
      <c r="T388" s="5" t="s">
        <v>42</v>
      </c>
      <c r="U388" s="5" t="s">
        <v>1787</v>
      </c>
      <c r="V388" s="5" t="n">
        <v>-3.705801</v>
      </c>
      <c r="W388" s="5" t="n">
        <v>-38.589792</v>
      </c>
    </row>
    <row r="389" customFormat="false" ht="23.25" hidden="false" customHeight="true" outlineLevel="0" collapsed="false">
      <c r="A389" s="5" t="s">
        <v>1788</v>
      </c>
      <c r="B389" s="5" t="s">
        <v>52</v>
      </c>
      <c r="C389" s="5" t="s">
        <v>1789</v>
      </c>
      <c r="D389" s="5" t="s">
        <v>1790</v>
      </c>
      <c r="E389" s="5" t="s">
        <v>156</v>
      </c>
      <c r="F389" s="5" t="n">
        <v>6</v>
      </c>
      <c r="G389" s="5" t="s">
        <v>40</v>
      </c>
      <c r="H389" s="5" t="n">
        <v>1</v>
      </c>
      <c r="I389" s="5" t="n">
        <v>3</v>
      </c>
      <c r="J389" s="5"/>
      <c r="K389" s="5" t="n">
        <v>13</v>
      </c>
      <c r="L389" s="5" t="s">
        <v>42</v>
      </c>
      <c r="M389" s="5"/>
      <c r="N389" s="5" t="s">
        <v>43</v>
      </c>
      <c r="O389" s="5"/>
      <c r="P389" s="5"/>
      <c r="Q389" s="6" t="n">
        <v>0</v>
      </c>
      <c r="R389" s="5"/>
      <c r="S389" s="5"/>
      <c r="T389" s="5" t="s">
        <v>42</v>
      </c>
      <c r="U389" s="5" t="s">
        <v>1791</v>
      </c>
      <c r="V389" s="5" t="n">
        <v>-3.704658</v>
      </c>
      <c r="W389" s="5" t="n">
        <v>-38.589481</v>
      </c>
    </row>
    <row r="390" customFormat="false" ht="23.25" hidden="false" customHeight="true" outlineLevel="0" collapsed="false">
      <c r="A390" s="5" t="s">
        <v>1792</v>
      </c>
      <c r="B390" s="5" t="s">
        <v>52</v>
      </c>
      <c r="C390" s="5" t="s">
        <v>1793</v>
      </c>
      <c r="D390" s="5" t="s">
        <v>1794</v>
      </c>
      <c r="E390" s="5" t="s">
        <v>1006</v>
      </c>
      <c r="F390" s="5" t="n">
        <v>64</v>
      </c>
      <c r="G390" s="5" t="s">
        <v>56</v>
      </c>
      <c r="H390" s="5" t="n">
        <v>7</v>
      </c>
      <c r="I390" s="5" t="n">
        <v>25</v>
      </c>
      <c r="J390" s="5"/>
      <c r="K390" s="5" t="n">
        <v>13</v>
      </c>
      <c r="L390" s="5" t="s">
        <v>42</v>
      </c>
      <c r="M390" s="5"/>
      <c r="N390" s="5" t="s">
        <v>43</v>
      </c>
      <c r="O390" s="5"/>
      <c r="P390" s="5"/>
      <c r="Q390" s="6" t="n">
        <v>0</v>
      </c>
      <c r="R390" s="5"/>
      <c r="S390" s="5"/>
      <c r="T390" s="5" t="s">
        <v>42</v>
      </c>
      <c r="U390" s="5" t="s">
        <v>1795</v>
      </c>
      <c r="V390" s="5" t="n">
        <v>-3.790818</v>
      </c>
      <c r="W390" s="5" t="n">
        <v>-38.475474</v>
      </c>
    </row>
    <row r="391" customFormat="false" ht="23.25" hidden="false" customHeight="true" outlineLevel="0" collapsed="false">
      <c r="A391" s="5" t="s">
        <v>1796</v>
      </c>
      <c r="B391" s="5" t="s">
        <v>52</v>
      </c>
      <c r="C391" s="5" t="s">
        <v>1797</v>
      </c>
      <c r="D391" s="5" t="s">
        <v>1798</v>
      </c>
      <c r="E391" s="5" t="s">
        <v>180</v>
      </c>
      <c r="F391" s="5" t="n">
        <v>17</v>
      </c>
      <c r="G391" s="5" t="s">
        <v>40</v>
      </c>
      <c r="H391" s="5" t="n">
        <v>1</v>
      </c>
      <c r="I391" s="5" t="n">
        <v>6</v>
      </c>
      <c r="J391" s="5"/>
      <c r="K391" s="5" t="n">
        <v>13</v>
      </c>
      <c r="L391" s="5" t="s">
        <v>42</v>
      </c>
      <c r="M391" s="5"/>
      <c r="N391" s="5" t="s">
        <v>43</v>
      </c>
      <c r="O391" s="5"/>
      <c r="P391" s="5"/>
      <c r="Q391" s="6" t="n">
        <v>0</v>
      </c>
      <c r="R391" s="5"/>
      <c r="S391" s="5"/>
      <c r="T391" s="5" t="s">
        <v>42</v>
      </c>
      <c r="U391" s="5" t="s">
        <v>1799</v>
      </c>
      <c r="V391" s="5" t="n">
        <v>-3.725696</v>
      </c>
      <c r="W391" s="5" t="n">
        <v>-38.572928</v>
      </c>
    </row>
    <row r="392" customFormat="false" ht="23.25" hidden="false" customHeight="true" outlineLevel="0" collapsed="false">
      <c r="A392" s="5" t="s">
        <v>1800</v>
      </c>
      <c r="B392" s="5" t="s">
        <v>52</v>
      </c>
      <c r="C392" s="5" t="s">
        <v>1801</v>
      </c>
      <c r="D392" s="5" t="s">
        <v>1802</v>
      </c>
      <c r="E392" s="5" t="s">
        <v>171</v>
      </c>
      <c r="F392" s="5" t="n">
        <v>83</v>
      </c>
      <c r="G392" s="5" t="s">
        <v>64</v>
      </c>
      <c r="H392" s="5" t="n">
        <v>10</v>
      </c>
      <c r="I392" s="5" t="n">
        <v>35</v>
      </c>
      <c r="J392" s="5" t="s">
        <v>619</v>
      </c>
      <c r="K392" s="5" t="n">
        <v>12</v>
      </c>
      <c r="L392" s="5" t="s">
        <v>42</v>
      </c>
      <c r="M392" s="5"/>
      <c r="N392" s="5" t="s">
        <v>569</v>
      </c>
      <c r="O392" s="5"/>
      <c r="P392" s="5"/>
      <c r="Q392" s="5"/>
      <c r="R392" s="5"/>
      <c r="S392" s="5"/>
      <c r="T392" s="5" t="s">
        <v>44</v>
      </c>
      <c r="U392" s="5" t="s">
        <v>1803</v>
      </c>
      <c r="V392" s="5" t="n">
        <v>-3.826529</v>
      </c>
      <c r="W392" s="5" t="n">
        <v>-38.564929</v>
      </c>
    </row>
    <row r="393" customFormat="false" ht="23.25" hidden="false" customHeight="true" outlineLevel="0" collapsed="false">
      <c r="A393" s="5" t="s">
        <v>1804</v>
      </c>
      <c r="B393" s="5" t="s">
        <v>36</v>
      </c>
      <c r="C393" s="5" t="s">
        <v>1805</v>
      </c>
      <c r="D393" s="5" t="s">
        <v>1806</v>
      </c>
      <c r="E393" s="5" t="s">
        <v>343</v>
      </c>
      <c r="F393" s="5" t="n">
        <v>63</v>
      </c>
      <c r="G393" s="5" t="s">
        <v>330</v>
      </c>
      <c r="H393" s="5" t="n">
        <v>6</v>
      </c>
      <c r="I393" s="5" t="n">
        <v>29</v>
      </c>
      <c r="J393" s="5"/>
      <c r="K393" s="5" t="n">
        <v>13</v>
      </c>
      <c r="L393" s="5" t="s">
        <v>42</v>
      </c>
      <c r="M393" s="5"/>
      <c r="N393" s="5" t="s">
        <v>43</v>
      </c>
      <c r="O393" s="5"/>
      <c r="P393" s="5"/>
      <c r="Q393" s="6" t="n">
        <v>0</v>
      </c>
      <c r="R393" s="5"/>
      <c r="S393" s="5"/>
      <c r="T393" s="5" t="s">
        <v>42</v>
      </c>
      <c r="U393" s="5" t="s">
        <v>1807</v>
      </c>
      <c r="V393" s="5" t="n">
        <v>-3.82245</v>
      </c>
      <c r="W393" s="5" t="n">
        <v>-38.471147</v>
      </c>
    </row>
    <row r="394" customFormat="false" ht="23.25" hidden="false" customHeight="true" outlineLevel="0" collapsed="false">
      <c r="A394" s="5" t="s">
        <v>1808</v>
      </c>
      <c r="B394" s="5" t="s">
        <v>36</v>
      </c>
      <c r="C394" s="5" t="s">
        <v>1809</v>
      </c>
      <c r="D394" s="5" t="s">
        <v>1810</v>
      </c>
      <c r="E394" s="5" t="s">
        <v>1811</v>
      </c>
      <c r="F394" s="5" t="n">
        <v>62</v>
      </c>
      <c r="G394" s="5" t="s">
        <v>330</v>
      </c>
      <c r="H394" s="5" t="n">
        <v>6</v>
      </c>
      <c r="I394" s="5" t="n">
        <v>27</v>
      </c>
      <c r="J394" s="5"/>
      <c r="K394" s="5" t="n">
        <v>13</v>
      </c>
      <c r="L394" s="5" t="s">
        <v>42</v>
      </c>
      <c r="M394" s="5"/>
      <c r="N394" s="5" t="s">
        <v>43</v>
      </c>
      <c r="O394" s="5"/>
      <c r="P394" s="5"/>
      <c r="Q394" s="6" t="n">
        <v>0</v>
      </c>
      <c r="R394" s="5"/>
      <c r="S394" s="5"/>
      <c r="T394" s="5" t="s">
        <v>42</v>
      </c>
      <c r="U394" s="5" t="s">
        <v>1812</v>
      </c>
      <c r="V394" s="5" t="n">
        <v>-3.784099</v>
      </c>
      <c r="W394" s="5" t="n">
        <v>-38.503545</v>
      </c>
    </row>
    <row r="395" customFormat="false" ht="23.25" hidden="false" customHeight="true" outlineLevel="0" collapsed="false">
      <c r="A395" s="5" t="s">
        <v>1813</v>
      </c>
      <c r="B395" s="5" t="s">
        <v>52</v>
      </c>
      <c r="C395" s="5" t="s">
        <v>1814</v>
      </c>
      <c r="D395" s="5" t="s">
        <v>1815</v>
      </c>
      <c r="E395" s="5" t="s">
        <v>107</v>
      </c>
      <c r="F395" s="5" t="n">
        <v>115</v>
      </c>
      <c r="G395" s="5" t="s">
        <v>71</v>
      </c>
      <c r="H395" s="5" t="n">
        <v>8</v>
      </c>
      <c r="I395" s="5" t="n">
        <v>21</v>
      </c>
      <c r="J395" s="5"/>
      <c r="K395" s="5" t="n">
        <v>13</v>
      </c>
      <c r="L395" s="5" t="s">
        <v>42</v>
      </c>
      <c r="M395" s="5"/>
      <c r="N395" s="5" t="s">
        <v>43</v>
      </c>
      <c r="O395" s="5"/>
      <c r="P395" s="5"/>
      <c r="Q395" s="6" t="n">
        <v>0</v>
      </c>
      <c r="R395" s="5"/>
      <c r="S395" s="5"/>
      <c r="T395" s="5" t="s">
        <v>42</v>
      </c>
      <c r="U395" s="5" t="s">
        <v>1816</v>
      </c>
      <c r="V395" s="5" t="n">
        <v>-3.836374</v>
      </c>
      <c r="W395" s="5" t="n">
        <v>-38.575999</v>
      </c>
    </row>
    <row r="396" customFormat="false" ht="23.25" hidden="false" customHeight="true" outlineLevel="0" collapsed="false">
      <c r="A396" s="5" t="s">
        <v>1817</v>
      </c>
      <c r="B396" s="5" t="s">
        <v>52</v>
      </c>
      <c r="C396" s="5" t="s">
        <v>1818</v>
      </c>
      <c r="D396" s="5" t="s">
        <v>1819</v>
      </c>
      <c r="E396" s="5" t="s">
        <v>236</v>
      </c>
      <c r="F396" s="5" t="n">
        <v>122</v>
      </c>
      <c r="G396" s="5" t="s">
        <v>64</v>
      </c>
      <c r="H396" s="5" t="n">
        <v>10</v>
      </c>
      <c r="I396" s="5" t="n">
        <v>34</v>
      </c>
      <c r="J396" s="5"/>
      <c r="K396" s="5" t="n">
        <v>14</v>
      </c>
      <c r="L396" s="5" t="s">
        <v>42</v>
      </c>
      <c r="M396" s="5"/>
      <c r="N396" s="5" t="s">
        <v>43</v>
      </c>
      <c r="O396" s="5"/>
      <c r="P396" s="5"/>
      <c r="Q396" s="6" t="n">
        <v>0</v>
      </c>
      <c r="R396" s="5"/>
      <c r="S396" s="5"/>
      <c r="T396" s="5" t="s">
        <v>42</v>
      </c>
      <c r="U396" s="5" t="s">
        <v>1820</v>
      </c>
      <c r="V396" s="5" t="n">
        <v>-3.830367</v>
      </c>
      <c r="W396" s="5" t="n">
        <v>-38.590477</v>
      </c>
    </row>
    <row r="397" customFormat="false" ht="23.25" hidden="false" customHeight="true" outlineLevel="0" collapsed="false">
      <c r="A397" s="5" t="s">
        <v>1821</v>
      </c>
      <c r="B397" s="5" t="s">
        <v>52</v>
      </c>
      <c r="C397" s="5" t="s">
        <v>1822</v>
      </c>
      <c r="D397" s="5" t="s">
        <v>1823</v>
      </c>
      <c r="E397" s="5" t="s">
        <v>102</v>
      </c>
      <c r="F397" s="5" t="n">
        <v>48</v>
      </c>
      <c r="G397" s="5" t="s">
        <v>96</v>
      </c>
      <c r="H397" s="5" t="n">
        <v>3</v>
      </c>
      <c r="I397" s="5" t="n">
        <v>11</v>
      </c>
      <c r="J397" s="5"/>
      <c r="K397" s="5" t="n">
        <v>14</v>
      </c>
      <c r="L397" s="5" t="s">
        <v>42</v>
      </c>
      <c r="M397" s="5"/>
      <c r="N397" s="5" t="s">
        <v>43</v>
      </c>
      <c r="O397" s="5"/>
      <c r="P397" s="5"/>
      <c r="Q397" s="6" t="n">
        <v>0</v>
      </c>
      <c r="R397" s="5"/>
      <c r="S397" s="5"/>
      <c r="T397" s="5" t="s">
        <v>42</v>
      </c>
      <c r="U397" s="5" t="s">
        <v>1824</v>
      </c>
      <c r="V397" s="5" t="n">
        <v>-3.737157</v>
      </c>
      <c r="W397" s="5" t="n">
        <v>-38.599255</v>
      </c>
    </row>
    <row r="398" customFormat="false" ht="23.25" hidden="false" customHeight="true" outlineLevel="0" collapsed="false">
      <c r="A398" s="5" t="s">
        <v>1825</v>
      </c>
      <c r="B398" s="5" t="s">
        <v>52</v>
      </c>
      <c r="C398" s="5" t="s">
        <v>1826</v>
      </c>
      <c r="D398" s="5" t="s">
        <v>94</v>
      </c>
      <c r="E398" s="5" t="s">
        <v>95</v>
      </c>
      <c r="F398" s="5" t="n">
        <v>97</v>
      </c>
      <c r="G398" s="5" t="s">
        <v>96</v>
      </c>
      <c r="H398" s="5" t="n">
        <v>11</v>
      </c>
      <c r="I398" s="5" t="n">
        <v>36</v>
      </c>
      <c r="J398" s="5" t="s">
        <v>619</v>
      </c>
      <c r="K398" s="5" t="n">
        <v>12</v>
      </c>
      <c r="L398" s="5" t="s">
        <v>44</v>
      </c>
      <c r="M398" s="5" t="s">
        <v>97</v>
      </c>
      <c r="N398" s="5" t="s">
        <v>569</v>
      </c>
      <c r="O398" s="5"/>
      <c r="P398" s="5"/>
      <c r="Q398" s="5"/>
      <c r="R398" s="5"/>
      <c r="S398" s="5"/>
      <c r="T398" s="5" t="s">
        <v>44</v>
      </c>
      <c r="U398" s="5" t="s">
        <v>98</v>
      </c>
      <c r="V398" s="5" t="n">
        <v>-3.763969</v>
      </c>
      <c r="W398" s="5" t="n">
        <v>-38.563171</v>
      </c>
    </row>
    <row r="399" customFormat="false" ht="23.25" hidden="false" customHeight="true" outlineLevel="0" collapsed="false">
      <c r="A399" s="5" t="s">
        <v>1827</v>
      </c>
      <c r="B399" s="5" t="s">
        <v>52</v>
      </c>
      <c r="C399" s="5" t="s">
        <v>1828</v>
      </c>
      <c r="D399" s="5" t="s">
        <v>1829</v>
      </c>
      <c r="E399" s="5" t="s">
        <v>282</v>
      </c>
      <c r="F399" s="5" t="n">
        <v>37</v>
      </c>
      <c r="G399" s="5" t="s">
        <v>56</v>
      </c>
      <c r="H399" s="5" t="n">
        <v>2</v>
      </c>
      <c r="I399" s="5" t="n">
        <v>9</v>
      </c>
      <c r="J399" s="5"/>
      <c r="K399" s="5" t="n">
        <v>14</v>
      </c>
      <c r="L399" s="5" t="s">
        <v>42</v>
      </c>
      <c r="M399" s="5"/>
      <c r="N399" s="5" t="s">
        <v>43</v>
      </c>
      <c r="O399" s="5"/>
      <c r="P399" s="5"/>
      <c r="Q399" s="6" t="n">
        <v>0</v>
      </c>
      <c r="R399" s="5"/>
      <c r="S399" s="5"/>
      <c r="T399" s="5" t="s">
        <v>42</v>
      </c>
      <c r="U399" s="5" t="s">
        <v>1830</v>
      </c>
      <c r="V399" s="5" t="n">
        <v>-3.726486</v>
      </c>
      <c r="W399" s="5" t="n">
        <v>-38.465718</v>
      </c>
    </row>
    <row r="400" customFormat="false" ht="23.25" hidden="false" customHeight="true" outlineLevel="0" collapsed="false">
      <c r="A400" s="5" t="s">
        <v>1831</v>
      </c>
      <c r="B400" s="5" t="s">
        <v>52</v>
      </c>
      <c r="C400" s="5" t="s">
        <v>1832</v>
      </c>
      <c r="D400" s="5" t="s">
        <v>1833</v>
      </c>
      <c r="E400" s="5" t="s">
        <v>1834</v>
      </c>
      <c r="F400" s="5" t="n">
        <v>54</v>
      </c>
      <c r="G400" s="5" t="s">
        <v>330</v>
      </c>
      <c r="H400" s="5" t="n">
        <v>6</v>
      </c>
      <c r="I400" s="5" t="n">
        <v>27</v>
      </c>
      <c r="J400" s="5" t="s">
        <v>568</v>
      </c>
      <c r="K400" s="5" t="n">
        <v>8</v>
      </c>
      <c r="L400" s="5" t="s">
        <v>42</v>
      </c>
      <c r="M400" s="5"/>
      <c r="N400" s="5" t="s">
        <v>569</v>
      </c>
      <c r="O400" s="5"/>
      <c r="P400" s="5"/>
      <c r="Q400" s="5"/>
      <c r="R400" s="5"/>
      <c r="S400" s="5"/>
      <c r="T400" s="5" t="s">
        <v>42</v>
      </c>
      <c r="U400" s="5" t="s">
        <v>1835</v>
      </c>
      <c r="V400" s="5" t="n">
        <v>-3.787577</v>
      </c>
      <c r="W400" s="5" t="n">
        <v>-38.509349</v>
      </c>
    </row>
    <row r="401" customFormat="false" ht="23.25" hidden="false" customHeight="true" outlineLevel="0" collapsed="false">
      <c r="A401" s="5" t="s">
        <v>1836</v>
      </c>
      <c r="B401" s="5" t="s">
        <v>52</v>
      </c>
      <c r="C401" s="5" t="s">
        <v>1837</v>
      </c>
      <c r="D401" s="5" t="s">
        <v>1838</v>
      </c>
      <c r="E401" s="5" t="s">
        <v>390</v>
      </c>
      <c r="F401" s="5" t="n">
        <v>73</v>
      </c>
      <c r="G401" s="5" t="s">
        <v>64</v>
      </c>
      <c r="H401" s="5" t="n">
        <v>5</v>
      </c>
      <c r="I401" s="5" t="n">
        <v>39</v>
      </c>
      <c r="J401" s="5"/>
      <c r="K401" s="5" t="n">
        <v>14</v>
      </c>
      <c r="L401" s="5" t="s">
        <v>42</v>
      </c>
      <c r="M401" s="5"/>
      <c r="N401" s="5" t="s">
        <v>43</v>
      </c>
      <c r="O401" s="5"/>
      <c r="P401" s="5"/>
      <c r="Q401" s="6" t="n">
        <v>0</v>
      </c>
      <c r="R401" s="5"/>
      <c r="S401" s="5"/>
      <c r="T401" s="5" t="s">
        <v>42</v>
      </c>
      <c r="U401" s="5" t="s">
        <v>1839</v>
      </c>
      <c r="V401" s="5" t="n">
        <v>-3.775631</v>
      </c>
      <c r="W401" s="5" t="n">
        <v>-38.588167</v>
      </c>
    </row>
    <row r="402" customFormat="false" ht="23.25" hidden="false" customHeight="true" outlineLevel="0" collapsed="false">
      <c r="A402" s="5" t="s">
        <v>1840</v>
      </c>
      <c r="B402" s="5" t="s">
        <v>52</v>
      </c>
      <c r="C402" s="5" t="s">
        <v>1841</v>
      </c>
      <c r="D402" s="5" t="s">
        <v>1842</v>
      </c>
      <c r="E402" s="5" t="s">
        <v>1843</v>
      </c>
      <c r="F402" s="5" t="n">
        <v>119</v>
      </c>
      <c r="G402" s="5" t="s">
        <v>96</v>
      </c>
      <c r="H402" s="5" t="n">
        <v>3</v>
      </c>
      <c r="I402" s="5" t="n">
        <v>11</v>
      </c>
      <c r="J402" s="5" t="s">
        <v>41</v>
      </c>
      <c r="K402" s="5" t="n">
        <v>14</v>
      </c>
      <c r="L402" s="5" t="s">
        <v>44</v>
      </c>
      <c r="M402" s="5" t="s">
        <v>746</v>
      </c>
      <c r="N402" s="5" t="s">
        <v>540</v>
      </c>
      <c r="O402" s="5"/>
      <c r="P402" s="5"/>
      <c r="Q402" s="6" t="n">
        <v>0</v>
      </c>
      <c r="R402" s="5"/>
      <c r="S402" s="5"/>
      <c r="T402" s="5" t="s">
        <v>44</v>
      </c>
      <c r="U402" s="5" t="s">
        <v>1844</v>
      </c>
      <c r="V402" s="5" t="n">
        <v>-3.731503</v>
      </c>
      <c r="W402" s="5" t="n">
        <v>-38.58902</v>
      </c>
    </row>
    <row r="403" customFormat="false" ht="23.25" hidden="false" customHeight="true" outlineLevel="0" collapsed="false">
      <c r="A403" s="5" t="s">
        <v>1845</v>
      </c>
      <c r="B403" s="5" t="s">
        <v>52</v>
      </c>
      <c r="C403" s="5" t="s">
        <v>1846</v>
      </c>
      <c r="D403" s="5" t="s">
        <v>1847</v>
      </c>
      <c r="E403" s="5" t="s">
        <v>161</v>
      </c>
      <c r="F403" s="5" t="n">
        <v>79</v>
      </c>
      <c r="G403" s="5" t="s">
        <v>64</v>
      </c>
      <c r="H403" s="5" t="n">
        <v>5</v>
      </c>
      <c r="I403" s="5" t="n">
        <v>39</v>
      </c>
      <c r="J403" s="5" t="s">
        <v>41</v>
      </c>
      <c r="K403" s="5" t="n">
        <v>17</v>
      </c>
      <c r="L403" s="5" t="s">
        <v>42</v>
      </c>
      <c r="M403" s="5"/>
      <c r="N403" s="5" t="s">
        <v>540</v>
      </c>
      <c r="O403" s="5"/>
      <c r="P403" s="5"/>
      <c r="Q403" s="6" t="n">
        <v>0</v>
      </c>
      <c r="R403" s="5"/>
      <c r="S403" s="5"/>
      <c r="T403" s="5" t="s">
        <v>44</v>
      </c>
      <c r="U403" s="5" t="s">
        <v>1848</v>
      </c>
      <c r="V403" s="5" t="n">
        <v>-3.786514</v>
      </c>
      <c r="W403" s="5" t="n">
        <v>-38.59378</v>
      </c>
    </row>
    <row r="404" customFormat="false" ht="23.25" hidden="false" customHeight="true" outlineLevel="0" collapsed="false">
      <c r="A404" s="5" t="s">
        <v>1849</v>
      </c>
      <c r="B404" s="5" t="s">
        <v>52</v>
      </c>
      <c r="C404" s="5" t="s">
        <v>1850</v>
      </c>
      <c r="D404" s="5" t="s">
        <v>1851</v>
      </c>
      <c r="E404" s="5" t="s">
        <v>654</v>
      </c>
      <c r="F404" s="5" t="n">
        <v>44</v>
      </c>
      <c r="G404" s="5" t="s">
        <v>96</v>
      </c>
      <c r="H404" s="5" t="n">
        <v>11</v>
      </c>
      <c r="I404" s="5" t="n">
        <v>38</v>
      </c>
      <c r="J404" s="5" t="s">
        <v>619</v>
      </c>
      <c r="K404" s="5" t="n">
        <v>13</v>
      </c>
      <c r="L404" s="5" t="s">
        <v>44</v>
      </c>
      <c r="M404" s="5" t="s">
        <v>97</v>
      </c>
      <c r="N404" s="5" t="s">
        <v>569</v>
      </c>
      <c r="O404" s="5"/>
      <c r="P404" s="5"/>
      <c r="Q404" s="5"/>
      <c r="R404" s="5"/>
      <c r="S404" s="5"/>
      <c r="T404" s="5" t="s">
        <v>44</v>
      </c>
      <c r="U404" s="5" t="s">
        <v>1852</v>
      </c>
      <c r="V404" s="5" t="n">
        <v>-3.762732</v>
      </c>
      <c r="W404" s="5" t="n">
        <v>-38.59988</v>
      </c>
    </row>
    <row r="405" customFormat="false" ht="23.25" hidden="false" customHeight="true" outlineLevel="0" collapsed="false">
      <c r="A405" s="5" t="s">
        <v>1853</v>
      </c>
      <c r="B405" s="5" t="s">
        <v>52</v>
      </c>
      <c r="C405" s="5" t="s">
        <v>1854</v>
      </c>
      <c r="D405" s="5" t="s">
        <v>1855</v>
      </c>
      <c r="E405" s="5" t="s">
        <v>329</v>
      </c>
      <c r="F405" s="5" t="n">
        <v>120</v>
      </c>
      <c r="G405" s="5" t="s">
        <v>330</v>
      </c>
      <c r="H405" s="5" t="n">
        <v>9</v>
      </c>
      <c r="I405" s="5" t="n">
        <v>33</v>
      </c>
      <c r="J405" s="5"/>
      <c r="K405" s="5" t="n">
        <v>14</v>
      </c>
      <c r="L405" s="5" t="s">
        <v>42</v>
      </c>
      <c r="M405" s="5"/>
      <c r="N405" s="5" t="s">
        <v>43</v>
      </c>
      <c r="O405" s="5"/>
      <c r="P405" s="5"/>
      <c r="Q405" s="6" t="n">
        <v>0</v>
      </c>
      <c r="R405" s="5"/>
      <c r="S405" s="5"/>
      <c r="T405" s="5" t="s">
        <v>42</v>
      </c>
      <c r="U405" s="5" t="s">
        <v>1856</v>
      </c>
      <c r="V405" s="5" t="n">
        <v>-3.853428</v>
      </c>
      <c r="W405" s="5" t="n">
        <v>-38.500772</v>
      </c>
    </row>
    <row r="406" customFormat="false" ht="23.25" hidden="false" customHeight="true" outlineLevel="0" collapsed="false">
      <c r="A406" s="5" t="s">
        <v>1857</v>
      </c>
      <c r="B406" s="5" t="s">
        <v>52</v>
      </c>
      <c r="C406" s="5" t="s">
        <v>1858</v>
      </c>
      <c r="D406" s="5" t="s">
        <v>792</v>
      </c>
      <c r="E406" s="5" t="s">
        <v>793</v>
      </c>
      <c r="F406" s="5" t="n">
        <v>110</v>
      </c>
      <c r="G406" s="5" t="s">
        <v>56</v>
      </c>
      <c r="H406" s="5" t="n">
        <v>2</v>
      </c>
      <c r="I406" s="5" t="n">
        <v>9</v>
      </c>
      <c r="J406" s="5"/>
      <c r="K406" s="5" t="n">
        <v>14</v>
      </c>
      <c r="L406" s="5" t="s">
        <v>42</v>
      </c>
      <c r="M406" s="5"/>
      <c r="N406" s="5" t="s">
        <v>43</v>
      </c>
      <c r="O406" s="5"/>
      <c r="P406" s="5"/>
      <c r="Q406" s="6" t="n">
        <v>0</v>
      </c>
      <c r="R406" s="5"/>
      <c r="S406" s="5"/>
      <c r="T406" s="5" t="s">
        <v>42</v>
      </c>
      <c r="U406" s="5" t="s">
        <v>794</v>
      </c>
      <c r="V406" s="5" t="n">
        <v>-3.718072</v>
      </c>
      <c r="W406" s="5" t="n">
        <v>-38.465362</v>
      </c>
    </row>
    <row r="407" customFormat="false" ht="23.25" hidden="false" customHeight="true" outlineLevel="0" collapsed="false">
      <c r="A407" s="5" t="s">
        <v>1859</v>
      </c>
      <c r="B407" s="5" t="s">
        <v>52</v>
      </c>
      <c r="C407" s="5" t="s">
        <v>1860</v>
      </c>
      <c r="D407" s="5" t="s">
        <v>1861</v>
      </c>
      <c r="E407" s="5" t="s">
        <v>654</v>
      </c>
      <c r="F407" s="5" t="n">
        <v>44</v>
      </c>
      <c r="G407" s="5" t="s">
        <v>96</v>
      </c>
      <c r="H407" s="5" t="n">
        <v>11</v>
      </c>
      <c r="I407" s="5" t="n">
        <v>38</v>
      </c>
      <c r="J407" s="5"/>
      <c r="K407" s="5" t="n">
        <v>14</v>
      </c>
      <c r="L407" s="5" t="s">
        <v>42</v>
      </c>
      <c r="M407" s="5"/>
      <c r="N407" s="5" t="s">
        <v>43</v>
      </c>
      <c r="O407" s="6" t="n">
        <v>92659.35</v>
      </c>
      <c r="P407" s="5" t="s">
        <v>311</v>
      </c>
      <c r="Q407" s="6" t="n">
        <v>92659.35</v>
      </c>
      <c r="R407" s="5" t="s">
        <v>1862</v>
      </c>
      <c r="S407" s="5"/>
      <c r="T407" s="5" t="s">
        <v>42</v>
      </c>
      <c r="U407" s="5" t="s">
        <v>1863</v>
      </c>
      <c r="V407" s="5" t="n">
        <v>-3.754897</v>
      </c>
      <c r="W407" s="5" t="n">
        <v>-38.603022</v>
      </c>
    </row>
    <row r="408" customFormat="false" ht="23.25" hidden="false" customHeight="true" outlineLevel="0" collapsed="false">
      <c r="A408" s="5" t="s">
        <v>1864</v>
      </c>
      <c r="B408" s="5" t="s">
        <v>52</v>
      </c>
      <c r="C408" s="5" t="s">
        <v>1865</v>
      </c>
      <c r="D408" s="5" t="s">
        <v>1866</v>
      </c>
      <c r="E408" s="5" t="s">
        <v>562</v>
      </c>
      <c r="F408" s="5" t="n">
        <v>19</v>
      </c>
      <c r="G408" s="5" t="s">
        <v>71</v>
      </c>
      <c r="H408" s="5" t="n">
        <v>4</v>
      </c>
      <c r="I408" s="5" t="n">
        <v>16</v>
      </c>
      <c r="J408" s="5"/>
      <c r="K408" s="5" t="n">
        <v>14</v>
      </c>
      <c r="L408" s="5" t="s">
        <v>42</v>
      </c>
      <c r="M408" s="5"/>
      <c r="N408" s="5" t="s">
        <v>43</v>
      </c>
      <c r="O408" s="5"/>
      <c r="P408" s="5"/>
      <c r="Q408" s="6" t="n">
        <v>0</v>
      </c>
      <c r="R408" s="5"/>
      <c r="S408" s="5"/>
      <c r="T408" s="5" t="s">
        <v>42</v>
      </c>
      <c r="U408" s="5" t="s">
        <v>1867</v>
      </c>
      <c r="V408" s="5" t="n">
        <v>-3.754122</v>
      </c>
      <c r="W408" s="5" t="n">
        <v>-38.540045</v>
      </c>
    </row>
    <row r="409" customFormat="false" ht="23.25" hidden="false" customHeight="true" outlineLevel="0" collapsed="false">
      <c r="A409" s="5" t="s">
        <v>1868</v>
      </c>
      <c r="B409" s="5" t="s">
        <v>52</v>
      </c>
      <c r="C409" s="5" t="s">
        <v>1869</v>
      </c>
      <c r="D409" s="5" t="s">
        <v>1870</v>
      </c>
      <c r="E409" s="5" t="s">
        <v>447</v>
      </c>
      <c r="F409" s="5" t="n">
        <v>21</v>
      </c>
      <c r="G409" s="5" t="s">
        <v>40</v>
      </c>
      <c r="H409" s="5" t="n">
        <v>1</v>
      </c>
      <c r="I409" s="5" t="n">
        <v>6</v>
      </c>
      <c r="J409" s="5"/>
      <c r="K409" s="5" t="n">
        <v>14</v>
      </c>
      <c r="L409" s="5" t="s">
        <v>42</v>
      </c>
      <c r="M409" s="5"/>
      <c r="N409" s="5" t="s">
        <v>43</v>
      </c>
      <c r="O409" s="5"/>
      <c r="P409" s="5"/>
      <c r="Q409" s="6" t="n">
        <v>0</v>
      </c>
      <c r="R409" s="5"/>
      <c r="S409" s="5"/>
      <c r="T409" s="5" t="s">
        <v>42</v>
      </c>
      <c r="U409" s="5" t="s">
        <v>1871</v>
      </c>
      <c r="V409" s="5" t="n">
        <v>-3.719736</v>
      </c>
      <c r="W409" s="5" t="n">
        <v>-38.583379</v>
      </c>
    </row>
    <row r="410" customFormat="false" ht="23.25" hidden="false" customHeight="true" outlineLevel="0" collapsed="false">
      <c r="A410" s="5" t="s">
        <v>1872</v>
      </c>
      <c r="B410" s="5" t="s">
        <v>52</v>
      </c>
      <c r="C410" s="5" t="s">
        <v>1873</v>
      </c>
      <c r="D410" s="5" t="s">
        <v>1874</v>
      </c>
      <c r="E410" s="5" t="s">
        <v>727</v>
      </c>
      <c r="F410" s="5" t="n">
        <v>75</v>
      </c>
      <c r="G410" s="5" t="s">
        <v>96</v>
      </c>
      <c r="H410" s="5" t="n">
        <v>11</v>
      </c>
      <c r="I410" s="5" t="n">
        <v>38</v>
      </c>
      <c r="J410" s="5"/>
      <c r="K410" s="5" t="n">
        <v>14</v>
      </c>
      <c r="L410" s="5" t="s">
        <v>42</v>
      </c>
      <c r="M410" s="5"/>
      <c r="N410" s="5" t="s">
        <v>43</v>
      </c>
      <c r="O410" s="5"/>
      <c r="P410" s="5"/>
      <c r="Q410" s="6" t="n">
        <v>0</v>
      </c>
      <c r="R410" s="5"/>
      <c r="S410" s="5"/>
      <c r="T410" s="5" t="s">
        <v>42</v>
      </c>
      <c r="U410" s="5" t="s">
        <v>1875</v>
      </c>
      <c r="V410" s="5" t="n">
        <v>-3.773604</v>
      </c>
      <c r="W410" s="5" t="n">
        <v>-38.613924</v>
      </c>
    </row>
    <row r="411" customFormat="false" ht="23.25" hidden="false" customHeight="true" outlineLevel="0" collapsed="false">
      <c r="A411" s="5" t="s">
        <v>1876</v>
      </c>
      <c r="B411" s="5" t="s">
        <v>52</v>
      </c>
      <c r="C411" s="5" t="s">
        <v>1877</v>
      </c>
      <c r="D411" s="5" t="s">
        <v>644</v>
      </c>
      <c r="E411" s="5" t="s">
        <v>645</v>
      </c>
      <c r="F411" s="5" t="n">
        <v>91</v>
      </c>
      <c r="G411" s="5" t="s">
        <v>330</v>
      </c>
      <c r="H411" s="5" t="n">
        <v>6</v>
      </c>
      <c r="I411" s="5" t="n">
        <v>26</v>
      </c>
      <c r="J411" s="5" t="s">
        <v>568</v>
      </c>
      <c r="K411" s="5" t="n">
        <v>11</v>
      </c>
      <c r="L411" s="5" t="s">
        <v>42</v>
      </c>
      <c r="M411" s="5"/>
      <c r="N411" s="5" t="s">
        <v>569</v>
      </c>
      <c r="O411" s="5"/>
      <c r="P411" s="5"/>
      <c r="Q411" s="5"/>
      <c r="R411" s="5"/>
      <c r="S411" s="5"/>
      <c r="T411" s="5" t="s">
        <v>42</v>
      </c>
      <c r="U411" s="5" t="s">
        <v>646</v>
      </c>
      <c r="V411" s="5" t="n">
        <v>-3.771224</v>
      </c>
      <c r="W411" s="5" t="n">
        <v>-38.515757</v>
      </c>
    </row>
    <row r="412" customFormat="false" ht="23.25" hidden="false" customHeight="true" outlineLevel="0" collapsed="false">
      <c r="A412" s="5" t="s">
        <v>1878</v>
      </c>
      <c r="B412" s="5" t="s">
        <v>52</v>
      </c>
      <c r="C412" s="5" t="s">
        <v>1879</v>
      </c>
      <c r="D412" s="5" t="s">
        <v>1880</v>
      </c>
      <c r="E412" s="5" t="s">
        <v>703</v>
      </c>
      <c r="F412" s="5" t="n">
        <v>72</v>
      </c>
      <c r="G412" s="5" t="s">
        <v>64</v>
      </c>
      <c r="H412" s="5" t="n">
        <v>5</v>
      </c>
      <c r="I412" s="5" t="n">
        <v>39</v>
      </c>
      <c r="J412" s="5"/>
      <c r="K412" s="5" t="n">
        <v>14</v>
      </c>
      <c r="L412" s="5" t="s">
        <v>42</v>
      </c>
      <c r="M412" s="5"/>
      <c r="N412" s="5" t="s">
        <v>43</v>
      </c>
      <c r="O412" s="5"/>
      <c r="P412" s="5"/>
      <c r="Q412" s="6" t="n">
        <v>0</v>
      </c>
      <c r="R412" s="5"/>
      <c r="S412" s="5"/>
      <c r="T412" s="5" t="s">
        <v>42</v>
      </c>
      <c r="U412" s="5" t="s">
        <v>1881</v>
      </c>
      <c r="V412" s="5" t="n">
        <v>-3.797241</v>
      </c>
      <c r="W412" s="5" t="n">
        <v>-38.608005</v>
      </c>
    </row>
    <row r="413" customFormat="false" ht="23.25" hidden="false" customHeight="true" outlineLevel="0" collapsed="false">
      <c r="A413" s="5" t="s">
        <v>1882</v>
      </c>
      <c r="B413" s="5" t="s">
        <v>52</v>
      </c>
      <c r="C413" s="5" t="s">
        <v>1883</v>
      </c>
      <c r="D413" s="5" t="s">
        <v>1884</v>
      </c>
      <c r="E413" s="5" t="s">
        <v>783</v>
      </c>
      <c r="F413" s="5" t="n">
        <v>106</v>
      </c>
      <c r="G413" s="5" t="s">
        <v>96</v>
      </c>
      <c r="H413" s="5" t="n">
        <v>11</v>
      </c>
      <c r="I413" s="5" t="n">
        <v>36</v>
      </c>
      <c r="J413" s="5" t="s">
        <v>619</v>
      </c>
      <c r="K413" s="5" t="n">
        <v>13</v>
      </c>
      <c r="L413" s="5" t="s">
        <v>44</v>
      </c>
      <c r="M413" s="5" t="s">
        <v>97</v>
      </c>
      <c r="N413" s="5" t="s">
        <v>569</v>
      </c>
      <c r="O413" s="5"/>
      <c r="P413" s="5"/>
      <c r="Q413" s="5"/>
      <c r="R413" s="5"/>
      <c r="S413" s="5"/>
      <c r="T413" s="5" t="s">
        <v>44</v>
      </c>
      <c r="U413" s="5" t="s">
        <v>1885</v>
      </c>
      <c r="V413" s="5" t="n">
        <v>-3.749091</v>
      </c>
      <c r="W413" s="5" t="n">
        <v>-38.569819</v>
      </c>
    </row>
    <row r="414" customFormat="false" ht="23.25" hidden="false" customHeight="true" outlineLevel="0" collapsed="false">
      <c r="A414" s="5" t="s">
        <v>1886</v>
      </c>
      <c r="B414" s="5" t="s">
        <v>52</v>
      </c>
      <c r="C414" s="5" t="s">
        <v>1887</v>
      </c>
      <c r="D414" s="5" t="s">
        <v>1888</v>
      </c>
      <c r="E414" s="5" t="s">
        <v>112</v>
      </c>
      <c r="F414" s="5" t="n">
        <v>88</v>
      </c>
      <c r="G414" s="5" t="s">
        <v>71</v>
      </c>
      <c r="H414" s="5" t="n">
        <v>8</v>
      </c>
      <c r="I414" s="5" t="n">
        <v>20</v>
      </c>
      <c r="J414" s="5" t="s">
        <v>41</v>
      </c>
      <c r="K414" s="5" t="n">
        <v>20</v>
      </c>
      <c r="L414" s="5" t="s">
        <v>44</v>
      </c>
      <c r="M414" s="5" t="s">
        <v>97</v>
      </c>
      <c r="N414" s="5" t="s">
        <v>540</v>
      </c>
      <c r="O414" s="5"/>
      <c r="P414" s="5"/>
      <c r="Q414" s="6" t="n">
        <v>0</v>
      </c>
      <c r="R414" s="5"/>
      <c r="S414" s="5"/>
      <c r="T414" s="5" t="s">
        <v>44</v>
      </c>
      <c r="U414" s="5" t="s">
        <v>1889</v>
      </c>
      <c r="V414" s="5" t="n">
        <v>-3.813726</v>
      </c>
      <c r="W414" s="5" t="n">
        <v>-38.537468</v>
      </c>
    </row>
    <row r="415" customFormat="false" ht="23.25" hidden="false" customHeight="true" outlineLevel="0" collapsed="false">
      <c r="A415" s="5" t="s">
        <v>1890</v>
      </c>
      <c r="B415" s="5" t="s">
        <v>52</v>
      </c>
      <c r="C415" s="5" t="s">
        <v>1891</v>
      </c>
      <c r="D415" s="5" t="s">
        <v>1892</v>
      </c>
      <c r="E415" s="5" t="s">
        <v>522</v>
      </c>
      <c r="F415" s="5" t="n">
        <v>90</v>
      </c>
      <c r="G415" s="5" t="s">
        <v>64</v>
      </c>
      <c r="H415" s="5" t="n">
        <v>5</v>
      </c>
      <c r="I415" s="5" t="n">
        <v>39</v>
      </c>
      <c r="J415" s="5"/>
      <c r="K415" s="5" t="n">
        <v>15</v>
      </c>
      <c r="L415" s="5" t="s">
        <v>42</v>
      </c>
      <c r="M415" s="5"/>
      <c r="N415" s="5" t="s">
        <v>43</v>
      </c>
      <c r="O415" s="5"/>
      <c r="P415" s="5"/>
      <c r="Q415" s="6" t="n">
        <v>0</v>
      </c>
      <c r="R415" s="5"/>
      <c r="S415" s="5"/>
      <c r="T415" s="5" t="s">
        <v>42</v>
      </c>
      <c r="U415" s="5" t="s">
        <v>1893</v>
      </c>
      <c r="V415" s="5" t="n">
        <v>-3.805498</v>
      </c>
      <c r="W415" s="5" t="n">
        <v>-38.623199</v>
      </c>
    </row>
    <row r="416" customFormat="false" ht="23.25" hidden="false" customHeight="true" outlineLevel="0" collapsed="false">
      <c r="A416" s="5" t="s">
        <v>1894</v>
      </c>
      <c r="B416" s="5" t="s">
        <v>52</v>
      </c>
      <c r="C416" s="5" t="s">
        <v>1895</v>
      </c>
      <c r="D416" s="5" t="s">
        <v>1896</v>
      </c>
      <c r="E416" s="5" t="s">
        <v>788</v>
      </c>
      <c r="F416" s="5" t="n">
        <v>51</v>
      </c>
      <c r="G416" s="5" t="s">
        <v>330</v>
      </c>
      <c r="H416" s="5" t="n">
        <v>9</v>
      </c>
      <c r="I416" s="5" t="n">
        <v>31</v>
      </c>
      <c r="J416" s="5"/>
      <c r="K416" s="5" t="n">
        <v>15</v>
      </c>
      <c r="L416" s="5" t="s">
        <v>44</v>
      </c>
      <c r="M416" s="5" t="s">
        <v>97</v>
      </c>
      <c r="N416" s="5" t="s">
        <v>43</v>
      </c>
      <c r="O416" s="5"/>
      <c r="P416" s="5"/>
      <c r="Q416" s="6" t="n">
        <v>0</v>
      </c>
      <c r="R416" s="5"/>
      <c r="S416" s="5"/>
      <c r="T416" s="5" t="s">
        <v>42</v>
      </c>
      <c r="U416" s="5" t="s">
        <v>1897</v>
      </c>
      <c r="V416" s="5" t="n">
        <v>-3.819118</v>
      </c>
      <c r="W416" s="5" t="n">
        <v>-38.506437</v>
      </c>
    </row>
    <row r="417" customFormat="false" ht="23.25" hidden="false" customHeight="true" outlineLevel="0" collapsed="false">
      <c r="A417" s="5" t="s">
        <v>1898</v>
      </c>
      <c r="B417" s="5" t="s">
        <v>52</v>
      </c>
      <c r="C417" s="5" t="s">
        <v>1899</v>
      </c>
      <c r="D417" s="5" t="s">
        <v>1900</v>
      </c>
      <c r="E417" s="5" t="s">
        <v>131</v>
      </c>
      <c r="F417" s="5" t="n">
        <v>95</v>
      </c>
      <c r="G417" s="5" t="s">
        <v>71</v>
      </c>
      <c r="H417" s="5" t="n">
        <v>8</v>
      </c>
      <c r="I417" s="5" t="n">
        <v>20</v>
      </c>
      <c r="J417" s="5"/>
      <c r="K417" s="5" t="n">
        <v>15</v>
      </c>
      <c r="L417" s="5" t="s">
        <v>42</v>
      </c>
      <c r="M417" s="5"/>
      <c r="N417" s="5" t="s">
        <v>43</v>
      </c>
      <c r="O417" s="5"/>
      <c r="P417" s="5"/>
      <c r="Q417" s="6" t="n">
        <v>0</v>
      </c>
      <c r="R417" s="5"/>
      <c r="S417" s="5"/>
      <c r="T417" s="5" t="s">
        <v>42</v>
      </c>
      <c r="U417" s="5" t="s">
        <v>1901</v>
      </c>
      <c r="V417" s="5" t="n">
        <v>-3.792827</v>
      </c>
      <c r="W417" s="5" t="n">
        <v>-38.518715</v>
      </c>
    </row>
    <row r="418" customFormat="false" ht="23.25" hidden="false" customHeight="true" outlineLevel="0" collapsed="false">
      <c r="A418" s="5" t="s">
        <v>1902</v>
      </c>
      <c r="B418" s="5" t="s">
        <v>275</v>
      </c>
      <c r="C418" s="5" t="s">
        <v>1903</v>
      </c>
      <c r="D418" s="5" t="s">
        <v>1904</v>
      </c>
      <c r="E418" s="5" t="s">
        <v>1375</v>
      </c>
      <c r="F418" s="5" t="n">
        <v>65</v>
      </c>
      <c r="G418" s="5" t="s">
        <v>330</v>
      </c>
      <c r="H418" s="5" t="n">
        <v>6</v>
      </c>
      <c r="I418" s="5" t="n">
        <v>28</v>
      </c>
      <c r="J418" s="5" t="s">
        <v>568</v>
      </c>
      <c r="K418" s="5" t="n">
        <v>12</v>
      </c>
      <c r="L418" s="5" t="s">
        <v>44</v>
      </c>
      <c r="M418" s="5" t="s">
        <v>733</v>
      </c>
      <c r="N418" s="5" t="s">
        <v>569</v>
      </c>
      <c r="O418" s="5"/>
      <c r="P418" s="5"/>
      <c r="Q418" s="5"/>
      <c r="R418" s="5"/>
      <c r="S418" s="5"/>
      <c r="T418" s="5" t="s">
        <v>42</v>
      </c>
      <c r="U418" s="5" t="s">
        <v>1905</v>
      </c>
      <c r="V418" s="5" t="n">
        <v>-3.82251</v>
      </c>
      <c r="W418" s="5" t="n">
        <v>-38.487478</v>
      </c>
    </row>
    <row r="419" customFormat="false" ht="23.25" hidden="false" customHeight="true" outlineLevel="0" collapsed="false">
      <c r="A419" s="5" t="s">
        <v>1906</v>
      </c>
      <c r="B419" s="5" t="s">
        <v>275</v>
      </c>
      <c r="C419" s="5" t="s">
        <v>1907</v>
      </c>
      <c r="D419" s="5" t="s">
        <v>1908</v>
      </c>
      <c r="E419" s="5" t="s">
        <v>1909</v>
      </c>
      <c r="F419" s="5" t="n">
        <v>56</v>
      </c>
      <c r="G419" s="5" t="s">
        <v>330</v>
      </c>
      <c r="H419" s="5" t="n">
        <v>6</v>
      </c>
      <c r="I419" s="5" t="n">
        <v>29</v>
      </c>
      <c r="J419" s="5" t="s">
        <v>568</v>
      </c>
      <c r="K419" s="5" t="n">
        <v>12</v>
      </c>
      <c r="L419" s="5" t="s">
        <v>44</v>
      </c>
      <c r="M419" s="5" t="s">
        <v>733</v>
      </c>
      <c r="N419" s="5" t="s">
        <v>569</v>
      </c>
      <c r="O419" s="5"/>
      <c r="P419" s="5"/>
      <c r="Q419" s="5"/>
      <c r="R419" s="5"/>
      <c r="S419" s="5"/>
      <c r="T419" s="5" t="s">
        <v>42</v>
      </c>
      <c r="U419" s="5" t="s">
        <v>1910</v>
      </c>
      <c r="V419" s="5" t="n">
        <v>-3.822515</v>
      </c>
      <c r="W419" s="5" t="n">
        <v>-38.477667</v>
      </c>
    </row>
    <row r="420" customFormat="false" ht="23.25" hidden="false" customHeight="true" outlineLevel="0" collapsed="false">
      <c r="A420" s="5" t="s">
        <v>1911</v>
      </c>
      <c r="B420" s="5" t="s">
        <v>52</v>
      </c>
      <c r="C420" s="5" t="s">
        <v>1912</v>
      </c>
      <c r="D420" s="5" t="s">
        <v>360</v>
      </c>
      <c r="E420" s="5" t="s">
        <v>343</v>
      </c>
      <c r="F420" s="5" t="n">
        <v>63</v>
      </c>
      <c r="G420" s="5" t="s">
        <v>330</v>
      </c>
      <c r="H420" s="5" t="n">
        <v>6</v>
      </c>
      <c r="I420" s="5" t="n">
        <v>29</v>
      </c>
      <c r="J420" s="5"/>
      <c r="K420" s="5" t="n">
        <v>15</v>
      </c>
      <c r="L420" s="5" t="s">
        <v>42</v>
      </c>
      <c r="M420" s="5"/>
      <c r="N420" s="5" t="s">
        <v>43</v>
      </c>
      <c r="O420" s="5"/>
      <c r="P420" s="5"/>
      <c r="Q420" s="6" t="n">
        <v>0</v>
      </c>
      <c r="R420" s="5"/>
      <c r="S420" s="5"/>
      <c r="T420" s="5" t="s">
        <v>42</v>
      </c>
      <c r="U420" s="5" t="s">
        <v>361</v>
      </c>
      <c r="V420" s="5" t="n">
        <v>-3.826706</v>
      </c>
      <c r="W420" s="5" t="n">
        <v>-38.463958</v>
      </c>
    </row>
    <row r="421" customFormat="false" ht="23.25" hidden="false" customHeight="true" outlineLevel="0" collapsed="false">
      <c r="A421" s="5" t="s">
        <v>1913</v>
      </c>
      <c r="B421" s="5" t="s">
        <v>52</v>
      </c>
      <c r="C421" s="5" t="s">
        <v>1914</v>
      </c>
      <c r="D421" s="5" t="s">
        <v>1915</v>
      </c>
      <c r="E421" s="5" t="s">
        <v>374</v>
      </c>
      <c r="F421" s="5" t="n">
        <v>61</v>
      </c>
      <c r="G421" s="5" t="s">
        <v>330</v>
      </c>
      <c r="H421" s="5" t="n">
        <v>9</v>
      </c>
      <c r="I421" s="5" t="n">
        <v>32</v>
      </c>
      <c r="J421" s="5"/>
      <c r="K421" s="5" t="n">
        <v>15</v>
      </c>
      <c r="L421" s="5" t="s">
        <v>42</v>
      </c>
      <c r="M421" s="5"/>
      <c r="N421" s="5" t="s">
        <v>43</v>
      </c>
      <c r="O421" s="5"/>
      <c r="P421" s="5"/>
      <c r="Q421" s="6" t="n">
        <v>0</v>
      </c>
      <c r="R421" s="5"/>
      <c r="S421" s="5"/>
      <c r="T421" s="5" t="s">
        <v>42</v>
      </c>
      <c r="U421" s="5" t="s">
        <v>1916</v>
      </c>
      <c r="V421" s="5" t="n">
        <v>-3.831297</v>
      </c>
      <c r="W421" s="5" t="n">
        <v>-38.523832</v>
      </c>
    </row>
    <row r="422" customFormat="false" ht="23.25" hidden="false" customHeight="true" outlineLevel="0" collapsed="false">
      <c r="A422" s="5" t="s">
        <v>1917</v>
      </c>
      <c r="B422" s="5" t="s">
        <v>52</v>
      </c>
      <c r="C422" s="5" t="s">
        <v>1918</v>
      </c>
      <c r="D422" s="5" t="s">
        <v>1919</v>
      </c>
      <c r="E422" s="5" t="s">
        <v>507</v>
      </c>
      <c r="F422" s="5" t="n">
        <v>20</v>
      </c>
      <c r="G422" s="5" t="s">
        <v>40</v>
      </c>
      <c r="H422" s="5" t="n">
        <v>1</v>
      </c>
      <c r="I422" s="5" t="n">
        <v>2</v>
      </c>
      <c r="J422" s="5"/>
      <c r="K422" s="5" t="n">
        <v>15</v>
      </c>
      <c r="L422" s="5" t="s">
        <v>42</v>
      </c>
      <c r="M422" s="5"/>
      <c r="N422" s="5" t="s">
        <v>43</v>
      </c>
      <c r="O422" s="6" t="n">
        <v>88764.83</v>
      </c>
      <c r="P422" s="5" t="s">
        <v>311</v>
      </c>
      <c r="Q422" s="6" t="n">
        <v>88764.83</v>
      </c>
      <c r="R422" s="5" t="s">
        <v>1920</v>
      </c>
      <c r="S422" s="5"/>
      <c r="T422" s="5" t="s">
        <v>42</v>
      </c>
      <c r="U422" s="5" t="s">
        <v>1921</v>
      </c>
      <c r="V422" s="5" t="n">
        <v>-3.722208</v>
      </c>
      <c r="W422" s="5" t="n">
        <v>-38.590759</v>
      </c>
    </row>
    <row r="423" customFormat="false" ht="23.25" hidden="false" customHeight="true" outlineLevel="0" collapsed="false">
      <c r="A423" s="5" t="s">
        <v>1922</v>
      </c>
      <c r="B423" s="5" t="s">
        <v>52</v>
      </c>
      <c r="C423" s="5" t="s">
        <v>1923</v>
      </c>
      <c r="D423" s="5" t="s">
        <v>1924</v>
      </c>
      <c r="E423" s="5" t="s">
        <v>81</v>
      </c>
      <c r="F423" s="5" t="n">
        <v>78</v>
      </c>
      <c r="G423" s="5" t="s">
        <v>64</v>
      </c>
      <c r="H423" s="5" t="n">
        <v>5</v>
      </c>
      <c r="I423" s="5" t="n">
        <v>39</v>
      </c>
      <c r="J423" s="5"/>
      <c r="K423" s="5" t="n">
        <v>15</v>
      </c>
      <c r="L423" s="5" t="s">
        <v>42</v>
      </c>
      <c r="M423" s="5"/>
      <c r="N423" s="5" t="s">
        <v>43</v>
      </c>
      <c r="O423" s="5"/>
      <c r="P423" s="5"/>
      <c r="Q423" s="6" t="n">
        <v>0</v>
      </c>
      <c r="R423" s="5"/>
      <c r="S423" s="5"/>
      <c r="T423" s="5" t="s">
        <v>42</v>
      </c>
      <c r="U423" s="5" t="s">
        <v>1925</v>
      </c>
      <c r="V423" s="5" t="n">
        <v>-3.791233</v>
      </c>
      <c r="W423" s="5" t="n">
        <v>-38.619158</v>
      </c>
    </row>
    <row r="424" customFormat="false" ht="23.25" hidden="false" customHeight="true" outlineLevel="0" collapsed="false">
      <c r="A424" s="5" t="s">
        <v>1926</v>
      </c>
      <c r="B424" s="5" t="s">
        <v>52</v>
      </c>
      <c r="C424" s="5" t="s">
        <v>1927</v>
      </c>
      <c r="D424" s="5" t="s">
        <v>1928</v>
      </c>
      <c r="E424" s="5" t="s">
        <v>112</v>
      </c>
      <c r="F424" s="5" t="n">
        <v>88</v>
      </c>
      <c r="G424" s="5" t="s">
        <v>71</v>
      </c>
      <c r="H424" s="5" t="n">
        <v>8</v>
      </c>
      <c r="I424" s="5" t="n">
        <v>20</v>
      </c>
      <c r="J424" s="5" t="s">
        <v>41</v>
      </c>
      <c r="K424" s="5" t="n">
        <v>20</v>
      </c>
      <c r="L424" s="5" t="s">
        <v>44</v>
      </c>
      <c r="M424" s="5" t="s">
        <v>97</v>
      </c>
      <c r="N424" s="5" t="s">
        <v>540</v>
      </c>
      <c r="O424" s="6" t="n">
        <v>51111.48</v>
      </c>
      <c r="P424" s="5" t="s">
        <v>1929</v>
      </c>
      <c r="Q424" s="6" t="n">
        <v>51111.48</v>
      </c>
      <c r="R424" s="5" t="s">
        <v>1930</v>
      </c>
      <c r="S424" s="5" t="s">
        <v>1931</v>
      </c>
      <c r="T424" s="5" t="s">
        <v>44</v>
      </c>
      <c r="U424" s="5" t="s">
        <v>1932</v>
      </c>
      <c r="V424" s="5" t="n">
        <v>-3.817428</v>
      </c>
      <c r="W424" s="5" t="n">
        <v>-38.522263</v>
      </c>
    </row>
    <row r="425" customFormat="false" ht="23.25" hidden="false" customHeight="true" outlineLevel="0" collapsed="false">
      <c r="A425" s="5" t="s">
        <v>1933</v>
      </c>
      <c r="B425" s="5" t="s">
        <v>275</v>
      </c>
      <c r="C425" s="5" t="s">
        <v>1934</v>
      </c>
      <c r="D425" s="5" t="s">
        <v>1935</v>
      </c>
      <c r="E425" s="5" t="s">
        <v>788</v>
      </c>
      <c r="F425" s="5" t="n">
        <v>51</v>
      </c>
      <c r="G425" s="5" t="s">
        <v>330</v>
      </c>
      <c r="H425" s="5" t="n">
        <v>9</v>
      </c>
      <c r="I425" s="5" t="n">
        <v>31</v>
      </c>
      <c r="J425" s="5" t="s">
        <v>568</v>
      </c>
      <c r="K425" s="5" t="n">
        <v>12</v>
      </c>
      <c r="L425" s="5" t="s">
        <v>44</v>
      </c>
      <c r="M425" s="5" t="s">
        <v>733</v>
      </c>
      <c r="N425" s="5" t="s">
        <v>569</v>
      </c>
      <c r="O425" s="5"/>
      <c r="P425" s="5"/>
      <c r="Q425" s="5"/>
      <c r="R425" s="5"/>
      <c r="S425" s="5"/>
      <c r="T425" s="5" t="s">
        <v>42</v>
      </c>
      <c r="U425" s="5" t="s">
        <v>1936</v>
      </c>
      <c r="V425" s="5" t="n">
        <v>-3.819837</v>
      </c>
      <c r="W425" s="5" t="n">
        <v>-38.514852</v>
      </c>
    </row>
    <row r="426" customFormat="false" ht="23.25" hidden="false" customHeight="true" outlineLevel="0" collapsed="false">
      <c r="A426" s="5" t="s">
        <v>1937</v>
      </c>
      <c r="B426" s="5" t="s">
        <v>52</v>
      </c>
      <c r="C426" s="5" t="s">
        <v>1938</v>
      </c>
      <c r="D426" s="5" t="s">
        <v>1939</v>
      </c>
      <c r="E426" s="5" t="s">
        <v>721</v>
      </c>
      <c r="F426" s="5" t="n">
        <v>52</v>
      </c>
      <c r="G426" s="5" t="s">
        <v>330</v>
      </c>
      <c r="H426" s="5" t="n">
        <v>9</v>
      </c>
      <c r="I426" s="5" t="n">
        <v>31</v>
      </c>
      <c r="J426" s="5"/>
      <c r="K426" s="5" t="n">
        <v>15</v>
      </c>
      <c r="L426" s="5" t="s">
        <v>42</v>
      </c>
      <c r="M426" s="5"/>
      <c r="N426" s="5" t="s">
        <v>43</v>
      </c>
      <c r="O426" s="5"/>
      <c r="P426" s="5"/>
      <c r="Q426" s="6" t="n">
        <v>0</v>
      </c>
      <c r="R426" s="5"/>
      <c r="S426" s="5"/>
      <c r="T426" s="5" t="s">
        <v>42</v>
      </c>
      <c r="U426" s="5" t="s">
        <v>1940</v>
      </c>
      <c r="V426" s="5" t="n">
        <v>-3.797747</v>
      </c>
      <c r="W426" s="5" t="n">
        <v>-38.511726</v>
      </c>
    </row>
    <row r="427" customFormat="false" ht="23.25" hidden="false" customHeight="true" outlineLevel="0" collapsed="false">
      <c r="A427" s="5" t="s">
        <v>1941</v>
      </c>
      <c r="B427" s="5" t="s">
        <v>52</v>
      </c>
      <c r="C427" s="5" t="s">
        <v>1942</v>
      </c>
      <c r="D427" s="5" t="s">
        <v>1943</v>
      </c>
      <c r="E427" s="5" t="s">
        <v>374</v>
      </c>
      <c r="F427" s="5" t="n">
        <v>61</v>
      </c>
      <c r="G427" s="5" t="s">
        <v>330</v>
      </c>
      <c r="H427" s="5" t="n">
        <v>9</v>
      </c>
      <c r="I427" s="5" t="n">
        <v>32</v>
      </c>
      <c r="J427" s="5" t="s">
        <v>568</v>
      </c>
      <c r="K427" s="5" t="n">
        <v>12</v>
      </c>
      <c r="L427" s="5" t="s">
        <v>44</v>
      </c>
      <c r="M427" s="5" t="s">
        <v>733</v>
      </c>
      <c r="N427" s="5" t="s">
        <v>569</v>
      </c>
      <c r="O427" s="5"/>
      <c r="P427" s="5"/>
      <c r="Q427" s="5"/>
      <c r="R427" s="5"/>
      <c r="S427" s="5"/>
      <c r="T427" s="5" t="s">
        <v>42</v>
      </c>
      <c r="U427" s="5" t="s">
        <v>1944</v>
      </c>
      <c r="V427" s="5" t="n">
        <v>-3.854599</v>
      </c>
      <c r="W427" s="5" t="n">
        <v>-38.519031</v>
      </c>
    </row>
    <row r="428" customFormat="false" ht="23.25" hidden="false" customHeight="true" outlineLevel="0" collapsed="false">
      <c r="A428" s="5" t="s">
        <v>1945</v>
      </c>
      <c r="B428" s="5" t="s">
        <v>52</v>
      </c>
      <c r="C428" s="5" t="s">
        <v>1946</v>
      </c>
      <c r="D428" s="5" t="s">
        <v>1947</v>
      </c>
      <c r="E428" s="5" t="s">
        <v>81</v>
      </c>
      <c r="F428" s="5" t="n">
        <v>78</v>
      </c>
      <c r="G428" s="5" t="s">
        <v>64</v>
      </c>
      <c r="H428" s="5" t="n">
        <v>5</v>
      </c>
      <c r="I428" s="5" t="n">
        <v>39</v>
      </c>
      <c r="J428" s="5"/>
      <c r="K428" s="5" t="n">
        <v>15</v>
      </c>
      <c r="L428" s="5" t="s">
        <v>42</v>
      </c>
      <c r="M428" s="5"/>
      <c r="N428" s="5" t="s">
        <v>43</v>
      </c>
      <c r="O428" s="5"/>
      <c r="P428" s="5"/>
      <c r="Q428" s="6" t="n">
        <v>0</v>
      </c>
      <c r="R428" s="5"/>
      <c r="S428" s="5"/>
      <c r="T428" s="5" t="s">
        <v>42</v>
      </c>
      <c r="U428" s="5" t="s">
        <v>1948</v>
      </c>
      <c r="V428" s="5" t="n">
        <v>-3.781718</v>
      </c>
      <c r="W428" s="5" t="n">
        <v>-38.624369</v>
      </c>
    </row>
    <row r="429" customFormat="false" ht="23.25" hidden="false" customHeight="true" outlineLevel="0" collapsed="false">
      <c r="A429" s="5" t="s">
        <v>1949</v>
      </c>
      <c r="B429" s="5" t="s">
        <v>52</v>
      </c>
      <c r="C429" s="5" t="s">
        <v>1950</v>
      </c>
      <c r="D429" s="5" t="s">
        <v>1951</v>
      </c>
      <c r="E429" s="5" t="s">
        <v>1952</v>
      </c>
      <c r="F429" s="5" t="n">
        <v>86</v>
      </c>
      <c r="G429" s="5" t="s">
        <v>64</v>
      </c>
      <c r="H429" s="5" t="n">
        <v>10</v>
      </c>
      <c r="I429" s="5" t="n">
        <v>34</v>
      </c>
      <c r="J429" s="5" t="s">
        <v>619</v>
      </c>
      <c r="K429" s="5" t="n">
        <v>14</v>
      </c>
      <c r="L429" s="5" t="s">
        <v>42</v>
      </c>
      <c r="M429" s="5"/>
      <c r="N429" s="5" t="s">
        <v>569</v>
      </c>
      <c r="O429" s="5"/>
      <c r="P429" s="5"/>
      <c r="Q429" s="5"/>
      <c r="R429" s="5"/>
      <c r="S429" s="5"/>
      <c r="T429" s="5" t="s">
        <v>44</v>
      </c>
      <c r="U429" s="5" t="s">
        <v>1953</v>
      </c>
      <c r="V429" s="5" t="n">
        <v>-3.795429</v>
      </c>
      <c r="W429" s="5" t="n">
        <v>-38.584318</v>
      </c>
    </row>
    <row r="430" customFormat="false" ht="23.25" hidden="false" customHeight="true" outlineLevel="0" collapsed="false">
      <c r="A430" s="5" t="s">
        <v>1954</v>
      </c>
      <c r="B430" s="5" t="s">
        <v>52</v>
      </c>
      <c r="C430" s="5" t="s">
        <v>1955</v>
      </c>
      <c r="D430" s="5" t="s">
        <v>1956</v>
      </c>
      <c r="E430" s="5" t="s">
        <v>654</v>
      </c>
      <c r="F430" s="5" t="n">
        <v>44</v>
      </c>
      <c r="G430" s="5" t="s">
        <v>96</v>
      </c>
      <c r="H430" s="5" t="n">
        <v>11</v>
      </c>
      <c r="I430" s="5" t="n">
        <v>38</v>
      </c>
      <c r="J430" s="5"/>
      <c r="K430" s="5" t="n">
        <v>15</v>
      </c>
      <c r="L430" s="5" t="s">
        <v>42</v>
      </c>
      <c r="M430" s="5"/>
      <c r="N430" s="5" t="s">
        <v>43</v>
      </c>
      <c r="O430" s="5"/>
      <c r="P430" s="5"/>
      <c r="Q430" s="6" t="n">
        <v>0</v>
      </c>
      <c r="R430" s="5"/>
      <c r="S430" s="5"/>
      <c r="T430" s="5" t="s">
        <v>42</v>
      </c>
      <c r="U430" s="5" t="s">
        <v>1957</v>
      </c>
      <c r="V430" s="5" t="n">
        <v>-3.760847</v>
      </c>
      <c r="W430" s="5" t="n">
        <v>-38.603206</v>
      </c>
    </row>
    <row r="431" customFormat="false" ht="23.25" hidden="false" customHeight="true" outlineLevel="0" collapsed="false">
      <c r="A431" s="5" t="s">
        <v>1958</v>
      </c>
      <c r="B431" s="5" t="s">
        <v>52</v>
      </c>
      <c r="C431" s="5" t="s">
        <v>1959</v>
      </c>
      <c r="D431" s="5" t="s">
        <v>1960</v>
      </c>
      <c r="E431" s="5" t="s">
        <v>136</v>
      </c>
      <c r="F431" s="5" t="n">
        <v>109</v>
      </c>
      <c r="G431" s="5" t="s">
        <v>71</v>
      </c>
      <c r="H431" s="5" t="n">
        <v>4</v>
      </c>
      <c r="I431" s="5" t="n">
        <v>18</v>
      </c>
      <c r="J431" s="5" t="s">
        <v>41</v>
      </c>
      <c r="K431" s="5" t="n">
        <v>20</v>
      </c>
      <c r="L431" s="5" t="s">
        <v>44</v>
      </c>
      <c r="M431" s="5" t="s">
        <v>746</v>
      </c>
      <c r="N431" s="5" t="s">
        <v>540</v>
      </c>
      <c r="O431" s="5"/>
      <c r="P431" s="5"/>
      <c r="Q431" s="6" t="n">
        <v>0</v>
      </c>
      <c r="R431" s="5"/>
      <c r="S431" s="5"/>
      <c r="T431" s="5" t="s">
        <v>44</v>
      </c>
      <c r="U431" s="5" t="s">
        <v>1961</v>
      </c>
      <c r="V431" s="5" t="n">
        <v>-3.763587</v>
      </c>
      <c r="W431" s="5" t="n">
        <v>-38.533985</v>
      </c>
    </row>
    <row r="432" customFormat="false" ht="23.25" hidden="false" customHeight="true" outlineLevel="0" collapsed="false">
      <c r="A432" s="5" t="s">
        <v>1962</v>
      </c>
      <c r="B432" s="5" t="s">
        <v>52</v>
      </c>
      <c r="C432" s="5" t="s">
        <v>1963</v>
      </c>
      <c r="D432" s="5" t="s">
        <v>1964</v>
      </c>
      <c r="E432" s="5" t="s">
        <v>374</v>
      </c>
      <c r="F432" s="5" t="n">
        <v>61</v>
      </c>
      <c r="G432" s="5" t="s">
        <v>330</v>
      </c>
      <c r="H432" s="5" t="n">
        <v>9</v>
      </c>
      <c r="I432" s="5" t="n">
        <v>32</v>
      </c>
      <c r="J432" s="5" t="s">
        <v>568</v>
      </c>
      <c r="K432" s="5" t="n">
        <v>12</v>
      </c>
      <c r="L432" s="5" t="s">
        <v>44</v>
      </c>
      <c r="M432" s="5" t="s">
        <v>733</v>
      </c>
      <c r="N432" s="5" t="s">
        <v>569</v>
      </c>
      <c r="O432" s="5"/>
      <c r="P432" s="5"/>
      <c r="Q432" s="5"/>
      <c r="R432" s="5"/>
      <c r="S432" s="5"/>
      <c r="T432" s="5" t="s">
        <v>42</v>
      </c>
      <c r="U432" s="5" t="s">
        <v>1965</v>
      </c>
      <c r="V432" s="5" t="n">
        <v>-3.855735</v>
      </c>
      <c r="W432" s="5" t="n">
        <v>-38.51454</v>
      </c>
    </row>
    <row r="433" customFormat="false" ht="23.25" hidden="false" customHeight="true" outlineLevel="0" collapsed="false">
      <c r="A433" s="5" t="s">
        <v>1966</v>
      </c>
      <c r="B433" s="5" t="s">
        <v>52</v>
      </c>
      <c r="C433" s="5" t="s">
        <v>1967</v>
      </c>
      <c r="D433" s="5" t="s">
        <v>465</v>
      </c>
      <c r="E433" s="5" t="s">
        <v>81</v>
      </c>
      <c r="F433" s="5" t="n">
        <v>78</v>
      </c>
      <c r="G433" s="5" t="s">
        <v>64</v>
      </c>
      <c r="H433" s="5" t="n">
        <v>5</v>
      </c>
      <c r="I433" s="5" t="n">
        <v>39</v>
      </c>
      <c r="J433" s="5"/>
      <c r="K433" s="5" t="n">
        <v>15</v>
      </c>
      <c r="L433" s="5" t="s">
        <v>42</v>
      </c>
      <c r="M433" s="5"/>
      <c r="N433" s="5" t="s">
        <v>43</v>
      </c>
      <c r="O433" s="5"/>
      <c r="P433" s="5"/>
      <c r="Q433" s="6" t="n">
        <v>0</v>
      </c>
      <c r="R433" s="5"/>
      <c r="S433" s="5"/>
      <c r="T433" s="5" t="s">
        <v>42</v>
      </c>
      <c r="U433" s="5" t="s">
        <v>466</v>
      </c>
      <c r="V433" s="5" t="n">
        <v>-3.788339</v>
      </c>
      <c r="W433" s="5" t="n">
        <v>-38.609833</v>
      </c>
    </row>
    <row r="434" customFormat="false" ht="23.25" hidden="false" customHeight="true" outlineLevel="0" collapsed="false">
      <c r="A434" s="5" t="s">
        <v>1968</v>
      </c>
      <c r="B434" s="5" t="s">
        <v>52</v>
      </c>
      <c r="C434" s="5" t="s">
        <v>1969</v>
      </c>
      <c r="D434" s="5" t="s">
        <v>1970</v>
      </c>
      <c r="E434" s="5" t="s">
        <v>765</v>
      </c>
      <c r="F434" s="5" t="n">
        <v>69</v>
      </c>
      <c r="G434" s="5" t="s">
        <v>330</v>
      </c>
      <c r="H434" s="5" t="n">
        <v>9</v>
      </c>
      <c r="I434" s="5" t="n">
        <v>33</v>
      </c>
      <c r="J434" s="5" t="s">
        <v>568</v>
      </c>
      <c r="K434" s="5" t="n">
        <v>12</v>
      </c>
      <c r="L434" s="5" t="s">
        <v>44</v>
      </c>
      <c r="M434" s="5" t="s">
        <v>733</v>
      </c>
      <c r="N434" s="5" t="s">
        <v>569</v>
      </c>
      <c r="O434" s="5"/>
      <c r="P434" s="5"/>
      <c r="Q434" s="5"/>
      <c r="R434" s="5"/>
      <c r="S434" s="5"/>
      <c r="T434" s="5" t="s">
        <v>42</v>
      </c>
      <c r="U434" s="5" t="s">
        <v>1971</v>
      </c>
      <c r="V434" s="5" t="n">
        <v>-3.877098</v>
      </c>
      <c r="W434" s="5" t="n">
        <v>-38.515756</v>
      </c>
    </row>
    <row r="435" customFormat="false" ht="23.25" hidden="false" customHeight="true" outlineLevel="0" collapsed="false">
      <c r="A435" s="5" t="s">
        <v>1972</v>
      </c>
      <c r="B435" s="5" t="s">
        <v>275</v>
      </c>
      <c r="C435" s="5" t="s">
        <v>1973</v>
      </c>
      <c r="D435" s="5" t="s">
        <v>1974</v>
      </c>
      <c r="E435" s="5" t="s">
        <v>1468</v>
      </c>
      <c r="F435" s="5" t="n">
        <v>99</v>
      </c>
      <c r="G435" s="5" t="s">
        <v>71</v>
      </c>
      <c r="H435" s="5" t="n">
        <v>4</v>
      </c>
      <c r="I435" s="5" t="n">
        <v>17</v>
      </c>
      <c r="J435" s="5" t="s">
        <v>41</v>
      </c>
      <c r="K435" s="5" t="n">
        <v>28</v>
      </c>
      <c r="L435" s="5" t="s">
        <v>44</v>
      </c>
      <c r="M435" s="5" t="s">
        <v>746</v>
      </c>
      <c r="N435" s="5" t="s">
        <v>540</v>
      </c>
      <c r="O435" s="5"/>
      <c r="P435" s="5"/>
      <c r="Q435" s="6" t="n">
        <v>0</v>
      </c>
      <c r="R435" s="5"/>
      <c r="S435" s="5"/>
      <c r="T435" s="5" t="s">
        <v>44</v>
      </c>
      <c r="U435" s="5" t="s">
        <v>1975</v>
      </c>
      <c r="V435" s="5" t="n">
        <v>-3.772653</v>
      </c>
      <c r="W435" s="5" t="n">
        <v>-38.55889</v>
      </c>
    </row>
    <row r="436" customFormat="false" ht="23.25" hidden="false" customHeight="true" outlineLevel="0" collapsed="false">
      <c r="A436" s="5" t="s">
        <v>1976</v>
      </c>
      <c r="B436" s="5" t="s">
        <v>52</v>
      </c>
      <c r="C436" s="5" t="s">
        <v>1977</v>
      </c>
      <c r="D436" s="5" t="s">
        <v>1978</v>
      </c>
      <c r="E436" s="5" t="s">
        <v>213</v>
      </c>
      <c r="F436" s="5" t="n">
        <v>100</v>
      </c>
      <c r="G436" s="5" t="s">
        <v>71</v>
      </c>
      <c r="H436" s="5" t="n">
        <v>8</v>
      </c>
      <c r="I436" s="5" t="n">
        <v>19</v>
      </c>
      <c r="J436" s="5"/>
      <c r="K436" s="5" t="n">
        <v>16</v>
      </c>
      <c r="L436" s="5" t="s">
        <v>42</v>
      </c>
      <c r="M436" s="5"/>
      <c r="N436" s="5" t="s">
        <v>43</v>
      </c>
      <c r="O436" s="5"/>
      <c r="P436" s="5"/>
      <c r="Q436" s="6" t="n">
        <v>0</v>
      </c>
      <c r="R436" s="5"/>
      <c r="S436" s="5"/>
      <c r="T436" s="5" t="s">
        <v>42</v>
      </c>
      <c r="U436" s="5" t="s">
        <v>1979</v>
      </c>
      <c r="V436" s="5" t="n">
        <v>-3.79172</v>
      </c>
      <c r="W436" s="5" t="n">
        <v>-38.537578</v>
      </c>
    </row>
    <row r="437" customFormat="false" ht="23.25" hidden="false" customHeight="true" outlineLevel="0" collapsed="false">
      <c r="A437" s="5" t="s">
        <v>1980</v>
      </c>
      <c r="B437" s="5" t="s">
        <v>52</v>
      </c>
      <c r="C437" s="5" t="s">
        <v>1981</v>
      </c>
      <c r="D437" s="5" t="s">
        <v>1982</v>
      </c>
      <c r="E437" s="5" t="s">
        <v>1375</v>
      </c>
      <c r="F437" s="5" t="n">
        <v>65</v>
      </c>
      <c r="G437" s="5" t="s">
        <v>330</v>
      </c>
      <c r="H437" s="5" t="n">
        <v>6</v>
      </c>
      <c r="I437" s="5" t="n">
        <v>28</v>
      </c>
      <c r="J437" s="5"/>
      <c r="K437" s="5" t="n">
        <v>16</v>
      </c>
      <c r="L437" s="5" t="s">
        <v>42</v>
      </c>
      <c r="M437" s="5"/>
      <c r="N437" s="5" t="s">
        <v>43</v>
      </c>
      <c r="O437" s="5"/>
      <c r="P437" s="5"/>
      <c r="Q437" s="6" t="n">
        <v>0</v>
      </c>
      <c r="R437" s="5"/>
      <c r="S437" s="5"/>
      <c r="T437" s="5" t="s">
        <v>42</v>
      </c>
      <c r="U437" s="5" t="s">
        <v>1983</v>
      </c>
      <c r="V437" s="5" t="n">
        <v>-3.820907</v>
      </c>
      <c r="W437" s="5" t="n">
        <v>-38.48928</v>
      </c>
    </row>
    <row r="438" customFormat="false" ht="23.25" hidden="false" customHeight="true" outlineLevel="0" collapsed="false">
      <c r="A438" s="5" t="s">
        <v>1984</v>
      </c>
      <c r="B438" s="5" t="s">
        <v>52</v>
      </c>
      <c r="C438" s="5" t="s">
        <v>1985</v>
      </c>
      <c r="D438" s="5" t="s">
        <v>1986</v>
      </c>
      <c r="E438" s="5" t="s">
        <v>81</v>
      </c>
      <c r="F438" s="5" t="n">
        <v>78</v>
      </c>
      <c r="G438" s="5" t="s">
        <v>64</v>
      </c>
      <c r="H438" s="5" t="n">
        <v>5</v>
      </c>
      <c r="I438" s="5" t="n">
        <v>39</v>
      </c>
      <c r="J438" s="5"/>
      <c r="K438" s="5" t="n">
        <v>16</v>
      </c>
      <c r="L438" s="5" t="s">
        <v>42</v>
      </c>
      <c r="M438" s="5"/>
      <c r="N438" s="5" t="s">
        <v>43</v>
      </c>
      <c r="O438" s="5"/>
      <c r="P438" s="5"/>
      <c r="Q438" s="6" t="n">
        <v>0</v>
      </c>
      <c r="R438" s="5"/>
      <c r="S438" s="5"/>
      <c r="T438" s="5" t="s">
        <v>42</v>
      </c>
      <c r="U438" s="5" t="s">
        <v>1987</v>
      </c>
      <c r="V438" s="5" t="n">
        <v>-3.788982</v>
      </c>
      <c r="W438" s="5" t="n">
        <v>-38.629516</v>
      </c>
    </row>
    <row r="439" customFormat="false" ht="23.25" hidden="false" customHeight="true" outlineLevel="0" collapsed="false">
      <c r="A439" s="5" t="s">
        <v>1988</v>
      </c>
      <c r="B439" s="5" t="s">
        <v>52</v>
      </c>
      <c r="C439" s="5" t="s">
        <v>1989</v>
      </c>
      <c r="D439" s="5" t="s">
        <v>291</v>
      </c>
      <c r="E439" s="5" t="s">
        <v>292</v>
      </c>
      <c r="F439" s="5" t="n">
        <v>43</v>
      </c>
      <c r="G439" s="5" t="s">
        <v>96</v>
      </c>
      <c r="H439" s="5" t="n">
        <v>11</v>
      </c>
      <c r="I439" s="5" t="n">
        <v>37</v>
      </c>
      <c r="J439" s="5"/>
      <c r="K439" s="5" t="n">
        <v>16</v>
      </c>
      <c r="L439" s="5" t="s">
        <v>42</v>
      </c>
      <c r="M439" s="5"/>
      <c r="N439" s="5" t="s">
        <v>43</v>
      </c>
      <c r="O439" s="5"/>
      <c r="P439" s="5"/>
      <c r="Q439" s="6" t="n">
        <v>0</v>
      </c>
      <c r="R439" s="5"/>
      <c r="S439" s="5"/>
      <c r="T439" s="5" t="s">
        <v>42</v>
      </c>
      <c r="U439" s="5" t="s">
        <v>293</v>
      </c>
      <c r="V439" s="5" t="n">
        <v>-3.756435</v>
      </c>
      <c r="W439" s="5" t="n">
        <v>-38.592178</v>
      </c>
    </row>
    <row r="440" customFormat="false" ht="23.25" hidden="false" customHeight="true" outlineLevel="0" collapsed="false">
      <c r="A440" s="5" t="s">
        <v>1990</v>
      </c>
      <c r="B440" s="5" t="s">
        <v>52</v>
      </c>
      <c r="C440" s="5" t="s">
        <v>1991</v>
      </c>
      <c r="D440" s="5" t="s">
        <v>1992</v>
      </c>
      <c r="E440" s="5" t="s">
        <v>1375</v>
      </c>
      <c r="F440" s="5" t="n">
        <v>65</v>
      </c>
      <c r="G440" s="5" t="s">
        <v>330</v>
      </c>
      <c r="H440" s="5" t="n">
        <v>6</v>
      </c>
      <c r="I440" s="5" t="n">
        <v>28</v>
      </c>
      <c r="J440" s="5" t="s">
        <v>619</v>
      </c>
      <c r="K440" s="5" t="n">
        <v>15</v>
      </c>
      <c r="L440" s="5" t="s">
        <v>42</v>
      </c>
      <c r="M440" s="5"/>
      <c r="N440" s="5" t="s">
        <v>569</v>
      </c>
      <c r="O440" s="5"/>
      <c r="P440" s="5"/>
      <c r="Q440" s="5"/>
      <c r="R440" s="5"/>
      <c r="S440" s="5"/>
      <c r="T440" s="5" t="s">
        <v>44</v>
      </c>
      <c r="U440" s="5" t="s">
        <v>1993</v>
      </c>
      <c r="V440" s="5" t="n">
        <v>-3.828597</v>
      </c>
      <c r="W440" s="5" t="n">
        <v>-38.486277</v>
      </c>
    </row>
    <row r="441" customFormat="false" ht="23.25" hidden="false" customHeight="true" outlineLevel="0" collapsed="false">
      <c r="A441" s="5" t="s">
        <v>1994</v>
      </c>
      <c r="B441" s="5" t="s">
        <v>52</v>
      </c>
      <c r="C441" s="5" t="s">
        <v>1995</v>
      </c>
      <c r="D441" s="5" t="s">
        <v>85</v>
      </c>
      <c r="E441" s="5" t="s">
        <v>81</v>
      </c>
      <c r="F441" s="5" t="n">
        <v>78</v>
      </c>
      <c r="G441" s="5" t="s">
        <v>64</v>
      </c>
      <c r="H441" s="5" t="n">
        <v>5</v>
      </c>
      <c r="I441" s="5" t="n">
        <v>39</v>
      </c>
      <c r="J441" s="5"/>
      <c r="K441" s="5" t="n">
        <v>16</v>
      </c>
      <c r="L441" s="5" t="s">
        <v>42</v>
      </c>
      <c r="M441" s="5"/>
      <c r="N441" s="5" t="s">
        <v>43</v>
      </c>
      <c r="O441" s="5"/>
      <c r="P441" s="5"/>
      <c r="Q441" s="6" t="n">
        <v>0</v>
      </c>
      <c r="R441" s="5"/>
      <c r="S441" s="5"/>
      <c r="T441" s="5" t="s">
        <v>42</v>
      </c>
      <c r="U441" s="5" t="s">
        <v>86</v>
      </c>
      <c r="V441" s="5" t="n">
        <v>-3.79295</v>
      </c>
      <c r="W441" s="5" t="n">
        <v>-38.624636</v>
      </c>
    </row>
    <row r="442" customFormat="false" ht="23.25" hidden="false" customHeight="true" outlineLevel="0" collapsed="false">
      <c r="A442" s="5" t="s">
        <v>1996</v>
      </c>
      <c r="B442" s="5" t="s">
        <v>52</v>
      </c>
      <c r="C442" s="5" t="s">
        <v>1997</v>
      </c>
      <c r="D442" s="5" t="s">
        <v>1998</v>
      </c>
      <c r="E442" s="5" t="s">
        <v>70</v>
      </c>
      <c r="F442" s="5" t="n">
        <v>89</v>
      </c>
      <c r="G442" s="5" t="s">
        <v>71</v>
      </c>
      <c r="H442" s="5" t="n">
        <v>8</v>
      </c>
      <c r="I442" s="5" t="n">
        <v>21</v>
      </c>
      <c r="J442" s="5" t="s">
        <v>41</v>
      </c>
      <c r="K442" s="5" t="n">
        <v>8</v>
      </c>
      <c r="L442" s="5" t="s">
        <v>42</v>
      </c>
      <c r="M442" s="5"/>
      <c r="N442" s="5" t="s">
        <v>1999</v>
      </c>
      <c r="O442" s="5"/>
      <c r="P442" s="5"/>
      <c r="Q442" s="6" t="n">
        <v>0</v>
      </c>
      <c r="R442" s="5"/>
      <c r="S442" s="5"/>
      <c r="T442" s="5" t="s">
        <v>44</v>
      </c>
      <c r="U442" s="5" t="s">
        <v>2000</v>
      </c>
      <c r="V442" s="5" t="n">
        <v>-3.831286</v>
      </c>
      <c r="W442" s="5" t="n">
        <v>-38.555995</v>
      </c>
    </row>
    <row r="443" customFormat="false" ht="23.25" hidden="false" customHeight="true" outlineLevel="0" collapsed="false">
      <c r="A443" s="5" t="s">
        <v>2001</v>
      </c>
      <c r="B443" s="5" t="s">
        <v>52</v>
      </c>
      <c r="C443" s="5" t="s">
        <v>2002</v>
      </c>
      <c r="D443" s="5" t="s">
        <v>2003</v>
      </c>
      <c r="E443" s="5" t="s">
        <v>161</v>
      </c>
      <c r="F443" s="5" t="n">
        <v>79</v>
      </c>
      <c r="G443" s="5" t="s">
        <v>64</v>
      </c>
      <c r="H443" s="5" t="n">
        <v>5</v>
      </c>
      <c r="I443" s="5" t="n">
        <v>39</v>
      </c>
      <c r="J443" s="5"/>
      <c r="K443" s="5" t="n">
        <v>16</v>
      </c>
      <c r="L443" s="5" t="s">
        <v>42</v>
      </c>
      <c r="M443" s="5"/>
      <c r="N443" s="5" t="s">
        <v>43</v>
      </c>
      <c r="O443" s="5"/>
      <c r="P443" s="5"/>
      <c r="Q443" s="6" t="n">
        <v>0</v>
      </c>
      <c r="R443" s="5"/>
      <c r="S443" s="5"/>
      <c r="T443" s="5" t="s">
        <v>42</v>
      </c>
      <c r="U443" s="5" t="s">
        <v>2004</v>
      </c>
      <c r="V443" s="5" t="n">
        <v>-3.781494</v>
      </c>
      <c r="W443" s="5" t="n">
        <v>-38.60301</v>
      </c>
    </row>
    <row r="444" customFormat="false" ht="23.25" hidden="false" customHeight="true" outlineLevel="0" collapsed="false">
      <c r="A444" s="5" t="s">
        <v>2005</v>
      </c>
      <c r="B444" s="5" t="s">
        <v>52</v>
      </c>
      <c r="C444" s="5" t="s">
        <v>2006</v>
      </c>
      <c r="D444" s="5" t="s">
        <v>2007</v>
      </c>
      <c r="E444" s="5" t="s">
        <v>356</v>
      </c>
      <c r="F444" s="5" t="n">
        <v>117</v>
      </c>
      <c r="G444" s="5" t="s">
        <v>330</v>
      </c>
      <c r="H444" s="5" t="n">
        <v>9</v>
      </c>
      <c r="I444" s="5" t="n">
        <v>32</v>
      </c>
      <c r="J444" s="5"/>
      <c r="K444" s="5" t="n">
        <v>16</v>
      </c>
      <c r="L444" s="5" t="s">
        <v>42</v>
      </c>
      <c r="M444" s="5"/>
      <c r="N444" s="5" t="s">
        <v>43</v>
      </c>
      <c r="O444" s="5"/>
      <c r="P444" s="5"/>
      <c r="Q444" s="6" t="n">
        <v>0</v>
      </c>
      <c r="R444" s="5"/>
      <c r="S444" s="5"/>
      <c r="T444" s="5" t="s">
        <v>42</v>
      </c>
      <c r="U444" s="5" t="s">
        <v>2008</v>
      </c>
      <c r="V444" s="5" t="n">
        <v>-3.845365</v>
      </c>
      <c r="W444" s="5" t="n">
        <v>-38.523363</v>
      </c>
    </row>
    <row r="445" customFormat="false" ht="23.25" hidden="false" customHeight="true" outlineLevel="0" collapsed="false">
      <c r="A445" s="5" t="s">
        <v>2009</v>
      </c>
      <c r="B445" s="5" t="s">
        <v>52</v>
      </c>
      <c r="C445" s="5" t="s">
        <v>2010</v>
      </c>
      <c r="D445" s="5" t="s">
        <v>2011</v>
      </c>
      <c r="E445" s="5" t="s">
        <v>171</v>
      </c>
      <c r="F445" s="5" t="n">
        <v>83</v>
      </c>
      <c r="G445" s="5" t="s">
        <v>64</v>
      </c>
      <c r="H445" s="5" t="n">
        <v>10</v>
      </c>
      <c r="I445" s="5" t="n">
        <v>35</v>
      </c>
      <c r="J445" s="5"/>
      <c r="K445" s="5" t="n">
        <v>16</v>
      </c>
      <c r="L445" s="5" t="s">
        <v>42</v>
      </c>
      <c r="M445" s="5"/>
      <c r="N445" s="5" t="s">
        <v>43</v>
      </c>
      <c r="O445" s="5"/>
      <c r="P445" s="5"/>
      <c r="Q445" s="6" t="n">
        <v>0</v>
      </c>
      <c r="R445" s="5"/>
      <c r="S445" s="5"/>
      <c r="T445" s="5" t="s">
        <v>42</v>
      </c>
      <c r="U445" s="5" t="s">
        <v>2012</v>
      </c>
      <c r="V445" s="5" t="n">
        <v>-3.806393</v>
      </c>
      <c r="W445" s="5" t="n">
        <v>-38.568523</v>
      </c>
    </row>
    <row r="446" customFormat="false" ht="23.25" hidden="false" customHeight="true" outlineLevel="0" collapsed="false">
      <c r="A446" s="5" t="s">
        <v>2013</v>
      </c>
      <c r="B446" s="5" t="s">
        <v>52</v>
      </c>
      <c r="C446" s="5" t="s">
        <v>2014</v>
      </c>
      <c r="D446" s="5" t="s">
        <v>2015</v>
      </c>
      <c r="E446" s="5" t="s">
        <v>39</v>
      </c>
      <c r="F446" s="5" t="n">
        <v>9</v>
      </c>
      <c r="G446" s="5" t="s">
        <v>40</v>
      </c>
      <c r="H446" s="5" t="n">
        <v>1</v>
      </c>
      <c r="I446" s="5" t="n">
        <v>5</v>
      </c>
      <c r="J446" s="5"/>
      <c r="K446" s="5" t="n">
        <v>16</v>
      </c>
      <c r="L446" s="5" t="s">
        <v>42</v>
      </c>
      <c r="M446" s="5"/>
      <c r="N446" s="5" t="s">
        <v>43</v>
      </c>
      <c r="O446" s="5"/>
      <c r="P446" s="5"/>
      <c r="Q446" s="6" t="n">
        <v>0</v>
      </c>
      <c r="R446" s="5"/>
      <c r="S446" s="5"/>
      <c r="T446" s="5" t="s">
        <v>42</v>
      </c>
      <c r="U446" s="5" t="s">
        <v>2016</v>
      </c>
      <c r="V446" s="5" t="n">
        <v>-3.712135</v>
      </c>
      <c r="W446" s="5" t="n">
        <v>-38.555565</v>
      </c>
    </row>
    <row r="447" customFormat="false" ht="23.25" hidden="false" customHeight="true" outlineLevel="0" collapsed="false">
      <c r="A447" s="5" t="s">
        <v>2017</v>
      </c>
      <c r="B447" s="5" t="s">
        <v>52</v>
      </c>
      <c r="C447" s="5" t="s">
        <v>2018</v>
      </c>
      <c r="D447" s="5" t="s">
        <v>2019</v>
      </c>
      <c r="E447" s="5" t="s">
        <v>199</v>
      </c>
      <c r="F447" s="5" t="n">
        <v>39</v>
      </c>
      <c r="G447" s="5" t="s">
        <v>40</v>
      </c>
      <c r="H447" s="5" t="n">
        <v>1</v>
      </c>
      <c r="I447" s="5" t="n">
        <v>2</v>
      </c>
      <c r="J447" s="5"/>
      <c r="K447" s="5" t="n">
        <v>16</v>
      </c>
      <c r="L447" s="5" t="s">
        <v>42</v>
      </c>
      <c r="M447" s="5"/>
      <c r="N447" s="5" t="s">
        <v>43</v>
      </c>
      <c r="O447" s="5"/>
      <c r="P447" s="5"/>
      <c r="Q447" s="6" t="n">
        <v>0</v>
      </c>
      <c r="R447" s="5"/>
      <c r="S447" s="5"/>
      <c r="T447" s="5" t="s">
        <v>42</v>
      </c>
      <c r="U447" s="5" t="s">
        <v>2020</v>
      </c>
      <c r="V447" s="5" t="n">
        <v>-3.712634</v>
      </c>
      <c r="W447" s="5" t="n">
        <v>-38.592069</v>
      </c>
    </row>
    <row r="448" customFormat="false" ht="23.25" hidden="false" customHeight="true" outlineLevel="0" collapsed="false">
      <c r="A448" s="5" t="s">
        <v>2021</v>
      </c>
      <c r="B448" s="5" t="s">
        <v>52</v>
      </c>
      <c r="C448" s="5" t="s">
        <v>2022</v>
      </c>
      <c r="D448" s="5" t="s">
        <v>2023</v>
      </c>
      <c r="E448" s="5" t="s">
        <v>703</v>
      </c>
      <c r="F448" s="5" t="n">
        <v>72</v>
      </c>
      <c r="G448" s="5" t="s">
        <v>64</v>
      </c>
      <c r="H448" s="5" t="n">
        <v>5</v>
      </c>
      <c r="I448" s="5" t="n">
        <v>39</v>
      </c>
      <c r="J448" s="5"/>
      <c r="K448" s="5" t="n">
        <v>16</v>
      </c>
      <c r="L448" s="5" t="s">
        <v>42</v>
      </c>
      <c r="M448" s="5"/>
      <c r="N448" s="5" t="s">
        <v>43</v>
      </c>
      <c r="O448" s="5"/>
      <c r="P448" s="5"/>
      <c r="Q448" s="6" t="n">
        <v>0</v>
      </c>
      <c r="R448" s="5"/>
      <c r="S448" s="5"/>
      <c r="T448" s="5" t="s">
        <v>42</v>
      </c>
      <c r="U448" s="5" t="s">
        <v>2024</v>
      </c>
      <c r="V448" s="5" t="n">
        <v>-3.798654</v>
      </c>
      <c r="W448" s="5" t="n">
        <v>-38.601849</v>
      </c>
    </row>
    <row r="449" customFormat="false" ht="23.25" hidden="false" customHeight="true" outlineLevel="0" collapsed="false">
      <c r="A449" s="5" t="s">
        <v>2025</v>
      </c>
      <c r="B449" s="5" t="s">
        <v>52</v>
      </c>
      <c r="C449" s="5" t="s">
        <v>2026</v>
      </c>
      <c r="D449" s="5" t="s">
        <v>2027</v>
      </c>
      <c r="E449" s="5" t="s">
        <v>727</v>
      </c>
      <c r="F449" s="5" t="n">
        <v>75</v>
      </c>
      <c r="G449" s="5" t="s">
        <v>96</v>
      </c>
      <c r="H449" s="5" t="n">
        <v>11</v>
      </c>
      <c r="I449" s="5" t="n">
        <v>38</v>
      </c>
      <c r="J449" s="5"/>
      <c r="K449" s="5" t="n">
        <v>16</v>
      </c>
      <c r="L449" s="5" t="s">
        <v>42</v>
      </c>
      <c r="M449" s="5"/>
      <c r="N449" s="5" t="s">
        <v>43</v>
      </c>
      <c r="O449" s="5"/>
      <c r="P449" s="5"/>
      <c r="Q449" s="6" t="n">
        <v>0</v>
      </c>
      <c r="R449" s="5"/>
      <c r="S449" s="5"/>
      <c r="T449" s="5" t="s">
        <v>42</v>
      </c>
      <c r="U449" s="5" t="s">
        <v>2028</v>
      </c>
      <c r="V449" s="5" t="n">
        <v>-3.770738</v>
      </c>
      <c r="W449" s="5" t="n">
        <v>-38.613738</v>
      </c>
    </row>
    <row r="450" customFormat="false" ht="23.25" hidden="false" customHeight="true" outlineLevel="0" collapsed="false">
      <c r="A450" s="5" t="s">
        <v>2029</v>
      </c>
      <c r="B450" s="5" t="s">
        <v>52</v>
      </c>
      <c r="C450" s="5" t="s">
        <v>2030</v>
      </c>
      <c r="D450" s="5" t="s">
        <v>2031</v>
      </c>
      <c r="E450" s="5" t="s">
        <v>788</v>
      </c>
      <c r="F450" s="5" t="n">
        <v>51</v>
      </c>
      <c r="G450" s="5" t="s">
        <v>330</v>
      </c>
      <c r="H450" s="5" t="n">
        <v>9</v>
      </c>
      <c r="I450" s="5" t="n">
        <v>31</v>
      </c>
      <c r="J450" s="5"/>
      <c r="K450" s="5" t="n">
        <v>16</v>
      </c>
      <c r="L450" s="5" t="s">
        <v>42</v>
      </c>
      <c r="M450" s="5"/>
      <c r="N450" s="5" t="s">
        <v>43</v>
      </c>
      <c r="O450" s="5"/>
      <c r="P450" s="5"/>
      <c r="Q450" s="6" t="n">
        <v>0</v>
      </c>
      <c r="R450" s="5"/>
      <c r="S450" s="5"/>
      <c r="T450" s="5" t="s">
        <v>42</v>
      </c>
      <c r="U450" s="5" t="s">
        <v>2032</v>
      </c>
      <c r="V450" s="5" t="n">
        <v>-3.824241</v>
      </c>
      <c r="W450" s="5" t="n">
        <v>-38.519202</v>
      </c>
    </row>
    <row r="451" customFormat="false" ht="23.25" hidden="false" customHeight="true" outlineLevel="0" collapsed="false">
      <c r="A451" s="5" t="s">
        <v>2033</v>
      </c>
      <c r="B451" s="5" t="s">
        <v>52</v>
      </c>
      <c r="C451" s="5" t="s">
        <v>2034</v>
      </c>
      <c r="D451" s="5" t="s">
        <v>2035</v>
      </c>
      <c r="E451" s="5" t="s">
        <v>765</v>
      </c>
      <c r="F451" s="5" t="n">
        <v>69</v>
      </c>
      <c r="G451" s="5" t="s">
        <v>330</v>
      </c>
      <c r="H451" s="5" t="n">
        <v>9</v>
      </c>
      <c r="I451" s="5" t="n">
        <v>33</v>
      </c>
      <c r="J451" s="5" t="s">
        <v>568</v>
      </c>
      <c r="K451" s="5" t="n">
        <v>12</v>
      </c>
      <c r="L451" s="5" t="s">
        <v>44</v>
      </c>
      <c r="M451" s="5" t="s">
        <v>733</v>
      </c>
      <c r="N451" s="5" t="s">
        <v>569</v>
      </c>
      <c r="O451" s="5"/>
      <c r="P451" s="5"/>
      <c r="Q451" s="5"/>
      <c r="R451" s="5"/>
      <c r="S451" s="5"/>
      <c r="T451" s="5" t="s">
        <v>42</v>
      </c>
      <c r="U451" s="5" t="s">
        <v>2036</v>
      </c>
      <c r="V451" s="5" t="n">
        <v>-3.877576</v>
      </c>
      <c r="W451" s="5" t="n">
        <v>-38.515215</v>
      </c>
    </row>
    <row r="452" customFormat="false" ht="23.25" hidden="false" customHeight="true" outlineLevel="0" collapsed="false">
      <c r="A452" s="5" t="s">
        <v>2037</v>
      </c>
      <c r="B452" s="5" t="s">
        <v>52</v>
      </c>
      <c r="C452" s="5" t="s">
        <v>2038</v>
      </c>
      <c r="D452" s="5" t="s">
        <v>271</v>
      </c>
      <c r="E452" s="5" t="s">
        <v>272</v>
      </c>
      <c r="F452" s="5" t="n">
        <v>45</v>
      </c>
      <c r="G452" s="5" t="s">
        <v>96</v>
      </c>
      <c r="H452" s="5" t="n">
        <v>11</v>
      </c>
      <c r="I452" s="5" t="n">
        <v>37</v>
      </c>
      <c r="J452" s="5" t="s">
        <v>41</v>
      </c>
      <c r="K452" s="5" t="n">
        <v>12</v>
      </c>
      <c r="L452" s="5" t="s">
        <v>42</v>
      </c>
      <c r="M452" s="5"/>
      <c r="N452" s="5" t="s">
        <v>1999</v>
      </c>
      <c r="O452" s="6" t="n">
        <v>41222.15</v>
      </c>
      <c r="P452" s="5" t="s">
        <v>2039</v>
      </c>
      <c r="Q452" s="6" t="n">
        <v>41222.15</v>
      </c>
      <c r="R452" s="5" t="s">
        <v>2040</v>
      </c>
      <c r="S452" s="5" t="s">
        <v>2041</v>
      </c>
      <c r="T452" s="5" t="s">
        <v>44</v>
      </c>
      <c r="U452" s="5" t="s">
        <v>273</v>
      </c>
      <c r="V452" s="5" t="n">
        <v>-3.764494</v>
      </c>
      <c r="W452" s="5" t="n">
        <v>-38.587803</v>
      </c>
    </row>
    <row r="453" customFormat="false" ht="23.25" hidden="false" customHeight="true" outlineLevel="0" collapsed="false">
      <c r="A453" s="5" t="s">
        <v>2042</v>
      </c>
      <c r="B453" s="5" t="s">
        <v>52</v>
      </c>
      <c r="C453" s="5" t="s">
        <v>2043</v>
      </c>
      <c r="D453" s="5" t="s">
        <v>2044</v>
      </c>
      <c r="E453" s="5" t="s">
        <v>783</v>
      </c>
      <c r="F453" s="5" t="n">
        <v>106</v>
      </c>
      <c r="G453" s="5" t="s">
        <v>96</v>
      </c>
      <c r="H453" s="5" t="n">
        <v>11</v>
      </c>
      <c r="I453" s="5" t="n">
        <v>36</v>
      </c>
      <c r="J453" s="5"/>
      <c r="K453" s="5" t="n">
        <v>17</v>
      </c>
      <c r="L453" s="5" t="s">
        <v>42</v>
      </c>
      <c r="M453" s="5"/>
      <c r="N453" s="5" t="s">
        <v>43</v>
      </c>
      <c r="O453" s="6" t="n">
        <v>53318.31</v>
      </c>
      <c r="P453" s="5" t="s">
        <v>311</v>
      </c>
      <c r="Q453" s="6" t="n">
        <v>53318.31</v>
      </c>
      <c r="R453" s="5" t="s">
        <v>2045</v>
      </c>
      <c r="S453" s="5"/>
      <c r="T453" s="5" t="s">
        <v>42</v>
      </c>
      <c r="U453" s="5" t="s">
        <v>2046</v>
      </c>
      <c r="V453" s="5" t="n">
        <v>-3.757129</v>
      </c>
      <c r="W453" s="5" t="n">
        <v>-38.571787</v>
      </c>
    </row>
    <row r="454" customFormat="false" ht="23.25" hidden="false" customHeight="true" outlineLevel="0" collapsed="false">
      <c r="A454" s="5" t="s">
        <v>2047</v>
      </c>
      <c r="B454" s="5" t="s">
        <v>52</v>
      </c>
      <c r="C454" s="5" t="s">
        <v>2048</v>
      </c>
      <c r="D454" s="5" t="s">
        <v>2049</v>
      </c>
      <c r="E454" s="5" t="s">
        <v>2050</v>
      </c>
      <c r="F454" s="5" t="n">
        <v>87</v>
      </c>
      <c r="G454" s="5" t="s">
        <v>64</v>
      </c>
      <c r="H454" s="5" t="n">
        <v>10</v>
      </c>
      <c r="I454" s="5" t="n">
        <v>34</v>
      </c>
      <c r="J454" s="5"/>
      <c r="K454" s="5" t="n">
        <v>17</v>
      </c>
      <c r="L454" s="5" t="s">
        <v>42</v>
      </c>
      <c r="M454" s="5"/>
      <c r="N454" s="5" t="s">
        <v>43</v>
      </c>
      <c r="O454" s="5"/>
      <c r="P454" s="5"/>
      <c r="Q454" s="6" t="n">
        <v>0</v>
      </c>
      <c r="R454" s="5"/>
      <c r="S454" s="5"/>
      <c r="T454" s="5" t="s">
        <v>42</v>
      </c>
      <c r="U454" s="5" t="s">
        <v>2051</v>
      </c>
      <c r="V454" s="5" t="n">
        <v>-3.818897</v>
      </c>
      <c r="W454" s="5" t="n">
        <v>-38.591632</v>
      </c>
    </row>
    <row r="455" customFormat="false" ht="23.25" hidden="false" customHeight="true" outlineLevel="0" collapsed="false">
      <c r="A455" s="5" t="s">
        <v>2052</v>
      </c>
      <c r="B455" s="5" t="s">
        <v>52</v>
      </c>
      <c r="C455" s="5" t="s">
        <v>2053</v>
      </c>
      <c r="D455" s="5" t="s">
        <v>2054</v>
      </c>
      <c r="E455" s="5" t="s">
        <v>126</v>
      </c>
      <c r="F455" s="5" t="n">
        <v>77</v>
      </c>
      <c r="G455" s="5" t="s">
        <v>71</v>
      </c>
      <c r="H455" s="5" t="n">
        <v>8</v>
      </c>
      <c r="I455" s="5" t="n">
        <v>19</v>
      </c>
      <c r="J455" s="5"/>
      <c r="K455" s="5" t="n">
        <v>17</v>
      </c>
      <c r="L455" s="5" t="s">
        <v>42</v>
      </c>
      <c r="M455" s="5"/>
      <c r="N455" s="5" t="s">
        <v>43</v>
      </c>
      <c r="O455" s="5"/>
      <c r="P455" s="5"/>
      <c r="Q455" s="6" t="n">
        <v>0</v>
      </c>
      <c r="R455" s="5"/>
      <c r="S455" s="5"/>
      <c r="T455" s="5" t="s">
        <v>42</v>
      </c>
      <c r="U455" s="5" t="s">
        <v>2055</v>
      </c>
      <c r="V455" s="5" t="n">
        <v>-3.794495</v>
      </c>
      <c r="W455" s="5" t="n">
        <v>-38.554162</v>
      </c>
    </row>
    <row r="456" customFormat="false" ht="23.25" hidden="false" customHeight="true" outlineLevel="0" collapsed="false">
      <c r="A456" s="5" t="s">
        <v>2056</v>
      </c>
      <c r="B456" s="5" t="s">
        <v>52</v>
      </c>
      <c r="C456" s="5" t="s">
        <v>2057</v>
      </c>
      <c r="D456" s="5" t="s">
        <v>2058</v>
      </c>
      <c r="E456" s="5" t="s">
        <v>1006</v>
      </c>
      <c r="F456" s="5" t="n">
        <v>64</v>
      </c>
      <c r="G456" s="5" t="s">
        <v>56</v>
      </c>
      <c r="H456" s="5" t="n">
        <v>7</v>
      </c>
      <c r="I456" s="5" t="n">
        <v>25</v>
      </c>
      <c r="J456" s="5"/>
      <c r="K456" s="5" t="n">
        <v>17</v>
      </c>
      <c r="L456" s="5" t="s">
        <v>42</v>
      </c>
      <c r="M456" s="5"/>
      <c r="N456" s="5" t="s">
        <v>43</v>
      </c>
      <c r="O456" s="5"/>
      <c r="P456" s="5"/>
      <c r="Q456" s="6" t="n">
        <v>0</v>
      </c>
      <c r="R456" s="5"/>
      <c r="S456" s="5"/>
      <c r="T456" s="5" t="s">
        <v>42</v>
      </c>
      <c r="U456" s="5" t="s">
        <v>2059</v>
      </c>
      <c r="V456" s="5" t="n">
        <v>-3.797503</v>
      </c>
      <c r="W456" s="5" t="n">
        <v>-38.467267</v>
      </c>
    </row>
    <row r="457" customFormat="false" ht="23.25" hidden="false" customHeight="true" outlineLevel="0" collapsed="false">
      <c r="A457" s="5" t="s">
        <v>2060</v>
      </c>
      <c r="B457" s="5" t="s">
        <v>36</v>
      </c>
      <c r="C457" s="5" t="s">
        <v>2061</v>
      </c>
      <c r="D457" s="5" t="s">
        <v>2062</v>
      </c>
      <c r="E457" s="5" t="s">
        <v>49</v>
      </c>
      <c r="F457" s="5" t="n">
        <v>18</v>
      </c>
      <c r="G457" s="5" t="s">
        <v>40</v>
      </c>
      <c r="H457" s="5" t="n">
        <v>1</v>
      </c>
      <c r="I457" s="5" t="n">
        <v>5</v>
      </c>
      <c r="J457" s="5" t="s">
        <v>41</v>
      </c>
      <c r="K457" s="5" t="n">
        <v>10</v>
      </c>
      <c r="L457" s="5" t="s">
        <v>44</v>
      </c>
      <c r="M457" s="5" t="s">
        <v>97</v>
      </c>
      <c r="N457" s="5" t="s">
        <v>569</v>
      </c>
      <c r="O457" s="5"/>
      <c r="P457" s="5"/>
      <c r="Q457" s="5"/>
      <c r="R457" s="5"/>
      <c r="S457" s="5"/>
      <c r="T457" s="5" t="s">
        <v>44</v>
      </c>
      <c r="U457" s="5" t="s">
        <v>2063</v>
      </c>
      <c r="V457" s="5" t="n">
        <v>-3.713232</v>
      </c>
      <c r="W457" s="5" t="n">
        <v>-38.545722</v>
      </c>
    </row>
    <row r="458" customFormat="false" ht="23.25" hidden="false" customHeight="true" outlineLevel="0" collapsed="false">
      <c r="A458" s="5" t="s">
        <v>2064</v>
      </c>
      <c r="B458" s="5" t="s">
        <v>52</v>
      </c>
      <c r="C458" s="5" t="s">
        <v>2065</v>
      </c>
      <c r="D458" s="5" t="s">
        <v>2066</v>
      </c>
      <c r="E458" s="5" t="s">
        <v>151</v>
      </c>
      <c r="F458" s="5" t="n">
        <v>35</v>
      </c>
      <c r="G458" s="5" t="s">
        <v>56</v>
      </c>
      <c r="H458" s="5" t="n">
        <v>2</v>
      </c>
      <c r="I458" s="5" t="n">
        <v>10</v>
      </c>
      <c r="J458" s="5"/>
      <c r="K458" s="5" t="n">
        <v>17</v>
      </c>
      <c r="L458" s="5" t="s">
        <v>42</v>
      </c>
      <c r="M458" s="5"/>
      <c r="N458" s="5" t="s">
        <v>43</v>
      </c>
      <c r="O458" s="5"/>
      <c r="P458" s="5"/>
      <c r="Q458" s="6" t="n">
        <v>0</v>
      </c>
      <c r="R458" s="5"/>
      <c r="S458" s="5"/>
      <c r="T458" s="5" t="s">
        <v>42</v>
      </c>
      <c r="U458" s="5" t="s">
        <v>2067</v>
      </c>
      <c r="V458" s="5" t="n">
        <v>-3.759637</v>
      </c>
      <c r="W458" s="5" t="n">
        <v>-38.5168</v>
      </c>
    </row>
    <row r="459" customFormat="false" ht="23.25" hidden="false" customHeight="true" outlineLevel="0" collapsed="false">
      <c r="A459" s="5" t="s">
        <v>2068</v>
      </c>
      <c r="B459" s="5" t="s">
        <v>52</v>
      </c>
      <c r="C459" s="5" t="s">
        <v>2069</v>
      </c>
      <c r="D459" s="5" t="s">
        <v>217</v>
      </c>
      <c r="E459" s="5" t="s">
        <v>218</v>
      </c>
      <c r="F459" s="5" t="n">
        <v>107</v>
      </c>
      <c r="G459" s="5" t="s">
        <v>71</v>
      </c>
      <c r="H459" s="5" t="n">
        <v>8</v>
      </c>
      <c r="I459" s="5" t="n">
        <v>19</v>
      </c>
      <c r="J459" s="5"/>
      <c r="K459" s="5" t="n">
        <v>17</v>
      </c>
      <c r="L459" s="5" t="s">
        <v>42</v>
      </c>
      <c r="M459" s="5"/>
      <c r="N459" s="5" t="s">
        <v>43</v>
      </c>
      <c r="O459" s="5"/>
      <c r="P459" s="5"/>
      <c r="Q459" s="6" t="n">
        <v>0</v>
      </c>
      <c r="R459" s="5"/>
      <c r="S459" s="5"/>
      <c r="T459" s="5" t="s">
        <v>42</v>
      </c>
      <c r="U459" s="5" t="s">
        <v>219</v>
      </c>
      <c r="V459" s="5" t="n">
        <v>-3.783053</v>
      </c>
      <c r="W459" s="5" t="n">
        <v>-38.542612</v>
      </c>
    </row>
    <row r="460" customFormat="false" ht="23.25" hidden="false" customHeight="true" outlineLevel="0" collapsed="false">
      <c r="A460" s="5" t="s">
        <v>2070</v>
      </c>
      <c r="B460" s="5" t="s">
        <v>52</v>
      </c>
      <c r="C460" s="5" t="s">
        <v>2071</v>
      </c>
      <c r="D460" s="5" t="s">
        <v>2072</v>
      </c>
      <c r="E460" s="5" t="s">
        <v>1006</v>
      </c>
      <c r="F460" s="5" t="n">
        <v>64</v>
      </c>
      <c r="G460" s="5" t="s">
        <v>56</v>
      </c>
      <c r="H460" s="5" t="n">
        <v>7</v>
      </c>
      <c r="I460" s="5" t="n">
        <v>25</v>
      </c>
      <c r="J460" s="5"/>
      <c r="K460" s="5" t="n">
        <v>17</v>
      </c>
      <c r="L460" s="5" t="s">
        <v>44</v>
      </c>
      <c r="M460" s="5" t="s">
        <v>385</v>
      </c>
      <c r="N460" s="5" t="s">
        <v>43</v>
      </c>
      <c r="O460" s="5"/>
      <c r="P460" s="5"/>
      <c r="Q460" s="6" t="n">
        <v>0</v>
      </c>
      <c r="R460" s="5"/>
      <c r="S460" s="5"/>
      <c r="T460" s="5" t="s">
        <v>42</v>
      </c>
      <c r="U460" s="5" t="s">
        <v>2073</v>
      </c>
      <c r="V460" s="5" t="n">
        <v>-3.791356</v>
      </c>
      <c r="W460" s="5" t="n">
        <v>-38.476539</v>
      </c>
    </row>
    <row r="461" customFormat="false" ht="23.25" hidden="false" customHeight="true" outlineLevel="0" collapsed="false">
      <c r="A461" s="5" t="s">
        <v>2074</v>
      </c>
      <c r="B461" s="5" t="s">
        <v>52</v>
      </c>
      <c r="C461" s="5" t="s">
        <v>2075</v>
      </c>
      <c r="D461" s="5" t="s">
        <v>2076</v>
      </c>
      <c r="E461" s="5" t="s">
        <v>343</v>
      </c>
      <c r="F461" s="5" t="n">
        <v>63</v>
      </c>
      <c r="G461" s="5" t="s">
        <v>330</v>
      </c>
      <c r="H461" s="5" t="n">
        <v>6</v>
      </c>
      <c r="I461" s="5" t="n">
        <v>29</v>
      </c>
      <c r="J461" s="5" t="s">
        <v>568</v>
      </c>
      <c r="K461" s="5" t="n">
        <v>13</v>
      </c>
      <c r="L461" s="5" t="s">
        <v>42</v>
      </c>
      <c r="M461" s="5"/>
      <c r="N461" s="5" t="s">
        <v>569</v>
      </c>
      <c r="O461" s="5"/>
      <c r="P461" s="5"/>
      <c r="Q461" s="5"/>
      <c r="R461" s="5"/>
      <c r="S461" s="5"/>
      <c r="T461" s="5" t="s">
        <v>42</v>
      </c>
      <c r="U461" s="5" t="s">
        <v>2077</v>
      </c>
      <c r="V461" s="5" t="n">
        <v>-3.814384</v>
      </c>
      <c r="W461" s="5" t="n">
        <v>-38.466159</v>
      </c>
    </row>
    <row r="462" customFormat="false" ht="23.25" hidden="false" customHeight="true" outlineLevel="0" collapsed="false">
      <c r="A462" s="5" t="s">
        <v>2078</v>
      </c>
      <c r="B462" s="5" t="s">
        <v>52</v>
      </c>
      <c r="C462" s="5" t="s">
        <v>2079</v>
      </c>
      <c r="D462" s="5" t="s">
        <v>2080</v>
      </c>
      <c r="E462" s="5" t="s">
        <v>522</v>
      </c>
      <c r="F462" s="5" t="n">
        <v>90</v>
      </c>
      <c r="G462" s="5" t="s">
        <v>64</v>
      </c>
      <c r="H462" s="5" t="n">
        <v>5</v>
      </c>
      <c r="I462" s="5" t="n">
        <v>39</v>
      </c>
      <c r="J462" s="5"/>
      <c r="K462" s="5" t="n">
        <v>17</v>
      </c>
      <c r="L462" s="5" t="s">
        <v>42</v>
      </c>
      <c r="M462" s="5"/>
      <c r="N462" s="5" t="s">
        <v>43</v>
      </c>
      <c r="O462" s="5"/>
      <c r="P462" s="5"/>
      <c r="Q462" s="6" t="n">
        <v>0</v>
      </c>
      <c r="R462" s="5"/>
      <c r="S462" s="5"/>
      <c r="T462" s="5" t="s">
        <v>42</v>
      </c>
      <c r="U462" s="5" t="s">
        <v>2081</v>
      </c>
      <c r="V462" s="5" t="n">
        <v>-3.801917</v>
      </c>
      <c r="W462" s="5" t="n">
        <v>-38.61435</v>
      </c>
    </row>
    <row r="463" customFormat="false" ht="23.25" hidden="false" customHeight="true" outlineLevel="0" collapsed="false">
      <c r="A463" s="5" t="s">
        <v>2082</v>
      </c>
      <c r="B463" s="5" t="s">
        <v>275</v>
      </c>
      <c r="C463" s="5" t="s">
        <v>2083</v>
      </c>
      <c r="D463" s="5" t="s">
        <v>2084</v>
      </c>
      <c r="E463" s="5" t="s">
        <v>374</v>
      </c>
      <c r="F463" s="5" t="n">
        <v>61</v>
      </c>
      <c r="G463" s="5" t="s">
        <v>330</v>
      </c>
      <c r="H463" s="5" t="n">
        <v>9</v>
      </c>
      <c r="I463" s="5" t="n">
        <v>32</v>
      </c>
      <c r="J463" s="5" t="s">
        <v>568</v>
      </c>
      <c r="K463" s="5" t="n">
        <v>14</v>
      </c>
      <c r="L463" s="5" t="s">
        <v>44</v>
      </c>
      <c r="M463" s="5" t="s">
        <v>385</v>
      </c>
      <c r="N463" s="5" t="s">
        <v>569</v>
      </c>
      <c r="O463" s="5"/>
      <c r="P463" s="5"/>
      <c r="Q463" s="5"/>
      <c r="R463" s="5"/>
      <c r="S463" s="5"/>
      <c r="T463" s="5" t="s">
        <v>42</v>
      </c>
      <c r="U463" s="5" t="s">
        <v>2085</v>
      </c>
      <c r="V463" s="5" t="n">
        <v>-3.848334</v>
      </c>
      <c r="W463" s="5" t="n">
        <v>-38.520216</v>
      </c>
    </row>
    <row r="464" customFormat="false" ht="23.25" hidden="false" customHeight="true" outlineLevel="0" collapsed="false">
      <c r="A464" s="5" t="s">
        <v>2086</v>
      </c>
      <c r="B464" s="5" t="s">
        <v>52</v>
      </c>
      <c r="C464" s="5" t="s">
        <v>2087</v>
      </c>
      <c r="D464" s="5" t="s">
        <v>2088</v>
      </c>
      <c r="E464" s="5" t="s">
        <v>2089</v>
      </c>
      <c r="F464" s="5" t="n">
        <v>50</v>
      </c>
      <c r="G464" s="5" t="s">
        <v>330</v>
      </c>
      <c r="H464" s="5" t="n">
        <v>9</v>
      </c>
      <c r="I464" s="5" t="n">
        <v>33</v>
      </c>
      <c r="J464" s="5"/>
      <c r="K464" s="5" t="n">
        <v>18</v>
      </c>
      <c r="L464" s="5" t="s">
        <v>44</v>
      </c>
      <c r="M464" s="5" t="s">
        <v>97</v>
      </c>
      <c r="N464" s="5" t="s">
        <v>43</v>
      </c>
      <c r="O464" s="5"/>
      <c r="P464" s="5"/>
      <c r="Q464" s="6" t="n">
        <v>0</v>
      </c>
      <c r="R464" s="5"/>
      <c r="S464" s="5"/>
      <c r="T464" s="5" t="s">
        <v>42</v>
      </c>
      <c r="U464" s="5" t="s">
        <v>2090</v>
      </c>
      <c r="V464" s="5" t="n">
        <v>-3.861598</v>
      </c>
      <c r="W464" s="5" t="n">
        <v>-38.505796</v>
      </c>
    </row>
    <row r="465" customFormat="false" ht="23.25" hidden="false" customHeight="true" outlineLevel="0" collapsed="false">
      <c r="A465" s="5" t="s">
        <v>2091</v>
      </c>
      <c r="B465" s="5" t="s">
        <v>52</v>
      </c>
      <c r="C465" s="5" t="s">
        <v>2092</v>
      </c>
      <c r="D465" s="5" t="s">
        <v>2093</v>
      </c>
      <c r="E465" s="5" t="s">
        <v>161</v>
      </c>
      <c r="F465" s="5" t="n">
        <v>79</v>
      </c>
      <c r="G465" s="5" t="s">
        <v>64</v>
      </c>
      <c r="H465" s="5" t="n">
        <v>5</v>
      </c>
      <c r="I465" s="5" t="n">
        <v>39</v>
      </c>
      <c r="J465" s="5"/>
      <c r="K465" s="5" t="n">
        <v>18</v>
      </c>
      <c r="L465" s="5" t="s">
        <v>44</v>
      </c>
      <c r="M465" s="5" t="s">
        <v>97</v>
      </c>
      <c r="N465" s="5" t="s">
        <v>43</v>
      </c>
      <c r="O465" s="5"/>
      <c r="P465" s="5"/>
      <c r="Q465" s="6" t="n">
        <v>0</v>
      </c>
      <c r="R465" s="5"/>
      <c r="S465" s="5"/>
      <c r="T465" s="5" t="s">
        <v>42</v>
      </c>
      <c r="U465" s="5" t="s">
        <v>2094</v>
      </c>
      <c r="V465" s="5" t="n">
        <v>-3.781068</v>
      </c>
      <c r="W465" s="5" t="n">
        <v>-38.601326</v>
      </c>
    </row>
    <row r="466" customFormat="false" ht="23.25" hidden="false" customHeight="true" outlineLevel="0" collapsed="false">
      <c r="A466" s="5" t="s">
        <v>2095</v>
      </c>
      <c r="B466" s="5" t="s">
        <v>52</v>
      </c>
      <c r="C466" s="5" t="s">
        <v>2096</v>
      </c>
      <c r="D466" s="5" t="s">
        <v>2097</v>
      </c>
      <c r="E466" s="5" t="s">
        <v>131</v>
      </c>
      <c r="F466" s="5" t="n">
        <v>95</v>
      </c>
      <c r="G466" s="5" t="s">
        <v>71</v>
      </c>
      <c r="H466" s="5" t="n">
        <v>8</v>
      </c>
      <c r="I466" s="5" t="n">
        <v>20</v>
      </c>
      <c r="J466" s="5"/>
      <c r="K466" s="5" t="n">
        <v>18</v>
      </c>
      <c r="L466" s="5" t="s">
        <v>42</v>
      </c>
      <c r="M466" s="5"/>
      <c r="N466" s="5" t="s">
        <v>43</v>
      </c>
      <c r="O466" s="5"/>
      <c r="P466" s="5"/>
      <c r="Q466" s="6" t="n">
        <v>0</v>
      </c>
      <c r="R466" s="5"/>
      <c r="S466" s="5"/>
      <c r="T466" s="5" t="s">
        <v>42</v>
      </c>
      <c r="U466" s="5" t="s">
        <v>2098</v>
      </c>
      <c r="V466" s="5" t="n">
        <v>-3.799557</v>
      </c>
      <c r="W466" s="5" t="n">
        <v>-38.528556</v>
      </c>
    </row>
    <row r="467" customFormat="false" ht="23.25" hidden="false" customHeight="true" outlineLevel="0" collapsed="false">
      <c r="A467" s="5" t="s">
        <v>2099</v>
      </c>
      <c r="B467" s="5" t="s">
        <v>36</v>
      </c>
      <c r="C467" s="5" t="s">
        <v>2100</v>
      </c>
      <c r="D467" s="5" t="s">
        <v>2101</v>
      </c>
      <c r="E467" s="5" t="s">
        <v>236</v>
      </c>
      <c r="F467" s="5" t="n">
        <v>122</v>
      </c>
      <c r="G467" s="5" t="s">
        <v>64</v>
      </c>
      <c r="H467" s="5" t="n">
        <v>10</v>
      </c>
      <c r="I467" s="5" t="n">
        <v>34</v>
      </c>
      <c r="J467" s="5" t="s">
        <v>41</v>
      </c>
      <c r="K467" s="5" t="n">
        <v>10</v>
      </c>
      <c r="L467" s="5" t="s">
        <v>44</v>
      </c>
      <c r="M467" s="5" t="s">
        <v>385</v>
      </c>
      <c r="N467" s="5" t="s">
        <v>569</v>
      </c>
      <c r="O467" s="5"/>
      <c r="P467" s="5"/>
      <c r="Q467" s="5"/>
      <c r="R467" s="5"/>
      <c r="S467" s="5"/>
      <c r="T467" s="5" t="s">
        <v>44</v>
      </c>
      <c r="U467" s="5" t="s">
        <v>2102</v>
      </c>
      <c r="V467" s="5" t="n">
        <v>-3.832786</v>
      </c>
      <c r="W467" s="5" t="n">
        <v>-38.585793</v>
      </c>
    </row>
    <row r="468" customFormat="false" ht="23.25" hidden="false" customHeight="true" outlineLevel="0" collapsed="false">
      <c r="A468" s="5" t="s">
        <v>2103</v>
      </c>
      <c r="B468" s="5" t="s">
        <v>52</v>
      </c>
      <c r="C468" s="5" t="s">
        <v>2104</v>
      </c>
      <c r="D468" s="5" t="s">
        <v>2105</v>
      </c>
      <c r="E468" s="5" t="s">
        <v>241</v>
      </c>
      <c r="F468" s="5" t="n">
        <v>105</v>
      </c>
      <c r="G468" s="5" t="s">
        <v>71</v>
      </c>
      <c r="H468" s="5" t="n">
        <v>4</v>
      </c>
      <c r="I468" s="5" t="n">
        <v>17</v>
      </c>
      <c r="J468" s="5"/>
      <c r="K468" s="5" t="n">
        <v>18</v>
      </c>
      <c r="L468" s="5" t="s">
        <v>42</v>
      </c>
      <c r="M468" s="5"/>
      <c r="N468" s="5" t="s">
        <v>43</v>
      </c>
      <c r="O468" s="5"/>
      <c r="P468" s="5"/>
      <c r="Q468" s="6" t="n">
        <v>0</v>
      </c>
      <c r="R468" s="5"/>
      <c r="S468" s="5"/>
      <c r="T468" s="5" t="s">
        <v>42</v>
      </c>
      <c r="U468" s="5" t="s">
        <v>2106</v>
      </c>
      <c r="V468" s="5" t="n">
        <v>-3.775721</v>
      </c>
      <c r="W468" s="5" t="n">
        <v>-38.558933</v>
      </c>
    </row>
    <row r="469" customFormat="false" ht="23.25" hidden="false" customHeight="true" outlineLevel="0" collapsed="false">
      <c r="A469" s="5" t="s">
        <v>2107</v>
      </c>
      <c r="B469" s="5" t="s">
        <v>52</v>
      </c>
      <c r="C469" s="5" t="s">
        <v>2108</v>
      </c>
      <c r="D469" s="5" t="s">
        <v>2109</v>
      </c>
      <c r="E469" s="5" t="s">
        <v>422</v>
      </c>
      <c r="F469" s="5" t="n">
        <v>68</v>
      </c>
      <c r="G469" s="5" t="s">
        <v>330</v>
      </c>
      <c r="H469" s="5" t="n">
        <v>6</v>
      </c>
      <c r="I469" s="5" t="n">
        <v>30</v>
      </c>
      <c r="J469" s="5"/>
      <c r="K469" s="5" t="n">
        <v>18</v>
      </c>
      <c r="L469" s="5" t="s">
        <v>44</v>
      </c>
      <c r="M469" s="5" t="s">
        <v>97</v>
      </c>
      <c r="N469" s="5" t="s">
        <v>43</v>
      </c>
      <c r="O469" s="5"/>
      <c r="P469" s="5"/>
      <c r="Q469" s="6" t="n">
        <v>0</v>
      </c>
      <c r="R469" s="5"/>
      <c r="S469" s="5"/>
      <c r="T469" s="5" t="s">
        <v>42</v>
      </c>
      <c r="U469" s="5" t="s">
        <v>2110</v>
      </c>
      <c r="V469" s="5" t="n">
        <v>-3.858703</v>
      </c>
      <c r="W469" s="5" t="n">
        <v>-38.492768</v>
      </c>
    </row>
    <row r="470" customFormat="false" ht="23.25" hidden="false" customHeight="true" outlineLevel="0" collapsed="false">
      <c r="A470" s="5" t="s">
        <v>2111</v>
      </c>
      <c r="B470" s="5" t="s">
        <v>52</v>
      </c>
      <c r="C470" s="5" t="s">
        <v>2112</v>
      </c>
      <c r="D470" s="5" t="s">
        <v>2113</v>
      </c>
      <c r="E470" s="5" t="s">
        <v>1426</v>
      </c>
      <c r="F470" s="5" t="n">
        <v>98</v>
      </c>
      <c r="G470" s="5" t="s">
        <v>71</v>
      </c>
      <c r="H470" s="5" t="n">
        <v>8</v>
      </c>
      <c r="I470" s="5" t="n">
        <v>20</v>
      </c>
      <c r="J470" s="5"/>
      <c r="K470" s="5" t="n">
        <v>18</v>
      </c>
      <c r="L470" s="5" t="s">
        <v>42</v>
      </c>
      <c r="M470" s="5"/>
      <c r="N470" s="5" t="s">
        <v>43</v>
      </c>
      <c r="O470" s="5"/>
      <c r="P470" s="5"/>
      <c r="Q470" s="6" t="n">
        <v>0</v>
      </c>
      <c r="R470" s="5"/>
      <c r="S470" s="5"/>
      <c r="T470" s="5" t="s">
        <v>42</v>
      </c>
      <c r="U470" s="5" t="s">
        <v>2114</v>
      </c>
      <c r="V470" s="5" t="n">
        <v>-3.788565</v>
      </c>
      <c r="W470" s="5" t="n">
        <v>-38.527072</v>
      </c>
    </row>
    <row r="471" customFormat="false" ht="23.25" hidden="false" customHeight="true" outlineLevel="0" collapsed="false">
      <c r="A471" s="5" t="s">
        <v>2115</v>
      </c>
      <c r="B471" s="5" t="s">
        <v>52</v>
      </c>
      <c r="C471" s="5" t="s">
        <v>2116</v>
      </c>
      <c r="D471" s="5" t="s">
        <v>2117</v>
      </c>
      <c r="E471" s="5" t="s">
        <v>374</v>
      </c>
      <c r="F471" s="5" t="n">
        <v>61</v>
      </c>
      <c r="G471" s="5" t="s">
        <v>330</v>
      </c>
      <c r="H471" s="5" t="n">
        <v>9</v>
      </c>
      <c r="I471" s="5" t="n">
        <v>32</v>
      </c>
      <c r="J471" s="5"/>
      <c r="K471" s="5" t="n">
        <v>18</v>
      </c>
      <c r="L471" s="5" t="s">
        <v>44</v>
      </c>
      <c r="M471" s="5" t="s">
        <v>97</v>
      </c>
      <c r="N471" s="5" t="s">
        <v>43</v>
      </c>
      <c r="O471" s="5"/>
      <c r="P471" s="5"/>
      <c r="Q471" s="6" t="n">
        <v>0</v>
      </c>
      <c r="R471" s="5"/>
      <c r="S471" s="5"/>
      <c r="T471" s="5" t="s">
        <v>42</v>
      </c>
      <c r="U471" s="5" t="s">
        <v>2118</v>
      </c>
      <c r="V471" s="5" t="n">
        <v>-3.839019</v>
      </c>
      <c r="W471" s="5" t="n">
        <v>-38.523131</v>
      </c>
    </row>
    <row r="472" customFormat="false" ht="23.25" hidden="false" customHeight="true" outlineLevel="0" collapsed="false">
      <c r="A472" s="5" t="s">
        <v>2119</v>
      </c>
      <c r="B472" s="5" t="s">
        <v>52</v>
      </c>
      <c r="C472" s="5" t="s">
        <v>2120</v>
      </c>
      <c r="D472" s="5" t="s">
        <v>2121</v>
      </c>
      <c r="E472" s="5" t="s">
        <v>63</v>
      </c>
      <c r="F472" s="5" t="n">
        <v>121</v>
      </c>
      <c r="G472" s="5" t="s">
        <v>64</v>
      </c>
      <c r="H472" s="5" t="n">
        <v>10</v>
      </c>
      <c r="I472" s="5" t="n">
        <v>34</v>
      </c>
      <c r="J472" s="5"/>
      <c r="K472" s="5" t="n">
        <v>18</v>
      </c>
      <c r="L472" s="5" t="s">
        <v>42</v>
      </c>
      <c r="M472" s="5"/>
      <c r="N472" s="5" t="s">
        <v>43</v>
      </c>
      <c r="O472" s="5"/>
      <c r="P472" s="5"/>
      <c r="Q472" s="6" t="n">
        <v>0</v>
      </c>
      <c r="R472" s="5"/>
      <c r="S472" s="5"/>
      <c r="T472" s="5" t="s">
        <v>42</v>
      </c>
      <c r="U472" s="5" t="s">
        <v>2122</v>
      </c>
      <c r="V472" s="5" t="n">
        <v>-3.807674</v>
      </c>
      <c r="W472" s="5" t="n">
        <v>-38.587579</v>
      </c>
    </row>
    <row r="473" customFormat="false" ht="23.25" hidden="false" customHeight="true" outlineLevel="0" collapsed="false">
      <c r="A473" s="5" t="s">
        <v>2123</v>
      </c>
      <c r="B473" s="5" t="s">
        <v>52</v>
      </c>
      <c r="C473" s="5" t="s">
        <v>2124</v>
      </c>
      <c r="D473" s="5" t="s">
        <v>2125</v>
      </c>
      <c r="E473" s="5" t="s">
        <v>374</v>
      </c>
      <c r="F473" s="5" t="n">
        <v>61</v>
      </c>
      <c r="G473" s="5" t="s">
        <v>330</v>
      </c>
      <c r="H473" s="5" t="n">
        <v>9</v>
      </c>
      <c r="I473" s="5" t="n">
        <v>32</v>
      </c>
      <c r="J473" s="5"/>
      <c r="K473" s="5" t="n">
        <v>18</v>
      </c>
      <c r="L473" s="5" t="s">
        <v>42</v>
      </c>
      <c r="M473" s="5"/>
      <c r="N473" s="5" t="s">
        <v>43</v>
      </c>
      <c r="O473" s="5"/>
      <c r="P473" s="5"/>
      <c r="Q473" s="6" t="n">
        <v>0</v>
      </c>
      <c r="R473" s="5"/>
      <c r="S473" s="5"/>
      <c r="T473" s="5" t="s">
        <v>42</v>
      </c>
      <c r="U473" s="5" t="s">
        <v>2126</v>
      </c>
      <c r="V473" s="5" t="n">
        <v>-3.852391</v>
      </c>
      <c r="W473" s="5" t="n">
        <v>-38.511784</v>
      </c>
    </row>
    <row r="474" customFormat="false" ht="23.25" hidden="false" customHeight="true" outlineLevel="0" collapsed="false">
      <c r="A474" s="5" t="s">
        <v>2127</v>
      </c>
      <c r="B474" s="5" t="s">
        <v>275</v>
      </c>
      <c r="C474" s="5" t="s">
        <v>2128</v>
      </c>
      <c r="D474" s="5" t="s">
        <v>2129</v>
      </c>
      <c r="E474" s="5" t="s">
        <v>356</v>
      </c>
      <c r="F474" s="5" t="n">
        <v>117</v>
      </c>
      <c r="G474" s="5" t="s">
        <v>330</v>
      </c>
      <c r="H474" s="5" t="n">
        <v>9</v>
      </c>
      <c r="I474" s="5" t="n">
        <v>32</v>
      </c>
      <c r="J474" s="5" t="s">
        <v>619</v>
      </c>
      <c r="K474" s="5" t="n">
        <v>18</v>
      </c>
      <c r="L474" s="5" t="s">
        <v>44</v>
      </c>
      <c r="M474" s="5" t="s">
        <v>746</v>
      </c>
      <c r="N474" s="5" t="s">
        <v>569</v>
      </c>
      <c r="O474" s="5"/>
      <c r="P474" s="5"/>
      <c r="Q474" s="5"/>
      <c r="R474" s="5"/>
      <c r="S474" s="5"/>
      <c r="T474" s="5" t="s">
        <v>44</v>
      </c>
      <c r="U474" s="5" t="s">
        <v>2130</v>
      </c>
      <c r="V474" s="5" t="n">
        <v>-3.848451</v>
      </c>
      <c r="W474" s="5" t="n">
        <v>-38.527634</v>
      </c>
    </row>
    <row r="475" customFormat="false" ht="23.25" hidden="false" customHeight="true" outlineLevel="0" collapsed="false">
      <c r="A475" s="5" t="s">
        <v>2131</v>
      </c>
      <c r="B475" s="5" t="s">
        <v>52</v>
      </c>
      <c r="C475" s="5" t="s">
        <v>2132</v>
      </c>
      <c r="D475" s="5" t="s">
        <v>2133</v>
      </c>
      <c r="E475" s="5" t="s">
        <v>684</v>
      </c>
      <c r="F475" s="5" t="n">
        <v>3</v>
      </c>
      <c r="G475" s="5" t="s">
        <v>40</v>
      </c>
      <c r="H475" s="5" t="n">
        <v>1</v>
      </c>
      <c r="I475" s="5" t="n">
        <v>6</v>
      </c>
      <c r="J475" s="5"/>
      <c r="K475" s="5" t="n">
        <v>18</v>
      </c>
      <c r="L475" s="5" t="s">
        <v>42</v>
      </c>
      <c r="M475" s="5"/>
      <c r="N475" s="5" t="s">
        <v>43</v>
      </c>
      <c r="O475" s="5"/>
      <c r="P475" s="5"/>
      <c r="Q475" s="6" t="n">
        <v>0</v>
      </c>
      <c r="R475" s="5"/>
      <c r="S475" s="5"/>
      <c r="T475" s="5" t="s">
        <v>42</v>
      </c>
      <c r="U475" s="5" t="s">
        <v>2134</v>
      </c>
      <c r="V475" s="5" t="n">
        <v>-3.717175</v>
      </c>
      <c r="W475" s="5" t="n">
        <v>-38.573897</v>
      </c>
    </row>
    <row r="476" customFormat="false" ht="23.25" hidden="false" customHeight="true" outlineLevel="0" collapsed="false">
      <c r="A476" s="5" t="s">
        <v>2135</v>
      </c>
      <c r="B476" s="5" t="s">
        <v>52</v>
      </c>
      <c r="C476" s="5" t="s">
        <v>2136</v>
      </c>
      <c r="D476" s="5" t="s">
        <v>2137</v>
      </c>
      <c r="E476" s="5" t="s">
        <v>703</v>
      </c>
      <c r="F476" s="5" t="n">
        <v>72</v>
      </c>
      <c r="G476" s="5" t="s">
        <v>64</v>
      </c>
      <c r="H476" s="5" t="n">
        <v>5</v>
      </c>
      <c r="I476" s="5" t="n">
        <v>39</v>
      </c>
      <c r="J476" s="5"/>
      <c r="K476" s="5" t="n">
        <v>18</v>
      </c>
      <c r="L476" s="5" t="s">
        <v>42</v>
      </c>
      <c r="M476" s="5"/>
      <c r="N476" s="5" t="s">
        <v>43</v>
      </c>
      <c r="O476" s="5"/>
      <c r="P476" s="5"/>
      <c r="Q476" s="6" t="n">
        <v>0</v>
      </c>
      <c r="R476" s="5"/>
      <c r="S476" s="5"/>
      <c r="T476" s="5" t="s">
        <v>42</v>
      </c>
      <c r="U476" s="5" t="s">
        <v>2138</v>
      </c>
      <c r="V476" s="5" t="n">
        <v>-3.794158</v>
      </c>
      <c r="W476" s="5" t="n">
        <v>-38.594438</v>
      </c>
    </row>
    <row r="477" customFormat="false" ht="23.25" hidden="false" customHeight="true" outlineLevel="0" collapsed="false">
      <c r="A477" s="5" t="s">
        <v>2139</v>
      </c>
      <c r="B477" s="5" t="s">
        <v>52</v>
      </c>
      <c r="C477" s="5" t="s">
        <v>2140</v>
      </c>
      <c r="D477" s="5" t="s">
        <v>2141</v>
      </c>
      <c r="E477" s="5" t="s">
        <v>684</v>
      </c>
      <c r="F477" s="5" t="n">
        <v>3</v>
      </c>
      <c r="G477" s="5" t="s">
        <v>40</v>
      </c>
      <c r="H477" s="5" t="n">
        <v>1</v>
      </c>
      <c r="I477" s="5" t="n">
        <v>6</v>
      </c>
      <c r="J477" s="5"/>
      <c r="K477" s="5" t="n">
        <v>18</v>
      </c>
      <c r="L477" s="5" t="s">
        <v>42</v>
      </c>
      <c r="M477" s="5"/>
      <c r="N477" s="5" t="s">
        <v>436</v>
      </c>
      <c r="O477" s="6" t="n">
        <v>111421.52</v>
      </c>
      <c r="P477" s="5" t="s">
        <v>311</v>
      </c>
      <c r="Q477" s="6" t="n">
        <v>111421.52</v>
      </c>
      <c r="R477" s="5" t="s">
        <v>2142</v>
      </c>
      <c r="S477" s="5"/>
      <c r="T477" s="5" t="s">
        <v>42</v>
      </c>
      <c r="U477" s="5" t="s">
        <v>2143</v>
      </c>
      <c r="V477" s="5" t="n">
        <v>-3.71673</v>
      </c>
      <c r="W477" s="5" t="n">
        <v>-38.561684</v>
      </c>
    </row>
    <row r="478" customFormat="false" ht="23.25" hidden="false" customHeight="true" outlineLevel="0" collapsed="false">
      <c r="A478" s="5" t="s">
        <v>2144</v>
      </c>
      <c r="B478" s="5" t="s">
        <v>36</v>
      </c>
      <c r="C478" s="5" t="s">
        <v>2145</v>
      </c>
      <c r="D478" s="5" t="s">
        <v>2146</v>
      </c>
      <c r="E478" s="5" t="s">
        <v>624</v>
      </c>
      <c r="F478" s="5" t="n">
        <v>27</v>
      </c>
      <c r="G478" s="5" t="s">
        <v>56</v>
      </c>
      <c r="H478" s="5" t="n">
        <v>2</v>
      </c>
      <c r="I478" s="5" t="n">
        <v>8</v>
      </c>
      <c r="J478" s="5" t="s">
        <v>41</v>
      </c>
      <c r="K478" s="5" t="n">
        <v>6</v>
      </c>
      <c r="L478" s="5" t="s">
        <v>42</v>
      </c>
      <c r="M478" s="5"/>
      <c r="N478" s="5" t="s">
        <v>569</v>
      </c>
      <c r="O478" s="5"/>
      <c r="P478" s="5"/>
      <c r="Q478" s="5"/>
      <c r="R478" s="5"/>
      <c r="S478" s="5"/>
      <c r="T478" s="5" t="s">
        <v>44</v>
      </c>
      <c r="U478" s="5" t="s">
        <v>2147</v>
      </c>
      <c r="V478" s="5" t="n">
        <v>-3.732945</v>
      </c>
      <c r="W478" s="5" t="n">
        <v>-38.482564</v>
      </c>
    </row>
    <row r="479" customFormat="false" ht="23.25" hidden="false" customHeight="true" outlineLevel="0" collapsed="false">
      <c r="A479" s="5" t="s">
        <v>2148</v>
      </c>
      <c r="B479" s="5" t="s">
        <v>52</v>
      </c>
      <c r="C479" s="5" t="s">
        <v>2149</v>
      </c>
      <c r="D479" s="5" t="s">
        <v>2150</v>
      </c>
      <c r="E479" s="5" t="s">
        <v>703</v>
      </c>
      <c r="F479" s="5" t="n">
        <v>72</v>
      </c>
      <c r="G479" s="5" t="s">
        <v>64</v>
      </c>
      <c r="H479" s="5" t="n">
        <v>5</v>
      </c>
      <c r="I479" s="5" t="n">
        <v>39</v>
      </c>
      <c r="J479" s="5"/>
      <c r="K479" s="5" t="n">
        <v>18</v>
      </c>
      <c r="L479" s="5" t="s">
        <v>42</v>
      </c>
      <c r="M479" s="5"/>
      <c r="N479" s="5" t="s">
        <v>43</v>
      </c>
      <c r="O479" s="5"/>
      <c r="P479" s="5"/>
      <c r="Q479" s="6" t="n">
        <v>0</v>
      </c>
      <c r="R479" s="5"/>
      <c r="S479" s="5"/>
      <c r="T479" s="5" t="s">
        <v>42</v>
      </c>
      <c r="U479" s="5" t="s">
        <v>2151</v>
      </c>
      <c r="V479" s="5" t="n">
        <v>-3.799919</v>
      </c>
      <c r="W479" s="5" t="n">
        <v>-38.600953</v>
      </c>
    </row>
    <row r="480" customFormat="false" ht="23.25" hidden="false" customHeight="true" outlineLevel="0" collapsed="false">
      <c r="A480" s="5" t="s">
        <v>2152</v>
      </c>
      <c r="B480" s="5" t="s">
        <v>52</v>
      </c>
      <c r="C480" s="5" t="s">
        <v>2153</v>
      </c>
      <c r="D480" s="5" t="s">
        <v>106</v>
      </c>
      <c r="E480" s="5" t="s">
        <v>107</v>
      </c>
      <c r="F480" s="5" t="n">
        <v>115</v>
      </c>
      <c r="G480" s="5" t="s">
        <v>71</v>
      </c>
      <c r="H480" s="5" t="n">
        <v>8</v>
      </c>
      <c r="I480" s="5" t="n">
        <v>21</v>
      </c>
      <c r="J480" s="5"/>
      <c r="K480" s="5" t="n">
        <v>19</v>
      </c>
      <c r="L480" s="5" t="s">
        <v>42</v>
      </c>
      <c r="M480" s="5"/>
      <c r="N480" s="5" t="s">
        <v>43</v>
      </c>
      <c r="O480" s="5"/>
      <c r="P480" s="5"/>
      <c r="Q480" s="6" t="n">
        <v>0</v>
      </c>
      <c r="R480" s="5"/>
      <c r="S480" s="5"/>
      <c r="T480" s="5" t="s">
        <v>42</v>
      </c>
      <c r="U480" s="5" t="s">
        <v>108</v>
      </c>
      <c r="V480" s="5" t="n">
        <v>-3.831128</v>
      </c>
      <c r="W480" s="5" t="n">
        <v>-38.570701</v>
      </c>
    </row>
    <row r="481" customFormat="false" ht="23.25" hidden="false" customHeight="true" outlineLevel="0" collapsed="false">
      <c r="A481" s="5" t="s">
        <v>2154</v>
      </c>
      <c r="B481" s="5" t="s">
        <v>52</v>
      </c>
      <c r="C481" s="5" t="s">
        <v>2155</v>
      </c>
      <c r="D481" s="5" t="s">
        <v>2156</v>
      </c>
      <c r="E481" s="5" t="s">
        <v>369</v>
      </c>
      <c r="F481" s="5" t="n">
        <v>74</v>
      </c>
      <c r="G481" s="5" t="s">
        <v>64</v>
      </c>
      <c r="H481" s="5" t="n">
        <v>10</v>
      </c>
      <c r="I481" s="5" t="n">
        <v>34</v>
      </c>
      <c r="J481" s="5"/>
      <c r="K481" s="5" t="n">
        <v>19</v>
      </c>
      <c r="L481" s="5" t="s">
        <v>42</v>
      </c>
      <c r="M481" s="5"/>
      <c r="N481" s="5" t="s">
        <v>43</v>
      </c>
      <c r="O481" s="5"/>
      <c r="P481" s="5"/>
      <c r="Q481" s="6" t="n">
        <v>0</v>
      </c>
      <c r="R481" s="5"/>
      <c r="S481" s="5"/>
      <c r="T481" s="5" t="s">
        <v>42</v>
      </c>
      <c r="U481" s="5" t="s">
        <v>2157</v>
      </c>
      <c r="V481" s="5" t="n">
        <v>-3.807352</v>
      </c>
      <c r="W481" s="5" t="n">
        <v>-38.602108</v>
      </c>
    </row>
    <row r="482" customFormat="false" ht="23.25" hidden="false" customHeight="true" outlineLevel="0" collapsed="false">
      <c r="A482" s="5" t="s">
        <v>2158</v>
      </c>
      <c r="B482" s="5" t="s">
        <v>52</v>
      </c>
      <c r="C482" s="5" t="s">
        <v>2159</v>
      </c>
      <c r="D482" s="5" t="s">
        <v>2160</v>
      </c>
      <c r="E482" s="5" t="s">
        <v>343</v>
      </c>
      <c r="F482" s="5" t="n">
        <v>63</v>
      </c>
      <c r="G482" s="5" t="s">
        <v>330</v>
      </c>
      <c r="H482" s="5" t="n">
        <v>6</v>
      </c>
      <c r="I482" s="5" t="n">
        <v>29</v>
      </c>
      <c r="J482" s="5"/>
      <c r="K482" s="5" t="n">
        <v>19</v>
      </c>
      <c r="L482" s="5" t="s">
        <v>42</v>
      </c>
      <c r="M482" s="5"/>
      <c r="N482" s="5" t="s">
        <v>43</v>
      </c>
      <c r="O482" s="5"/>
      <c r="P482" s="5"/>
      <c r="Q482" s="6" t="n">
        <v>0</v>
      </c>
      <c r="R482" s="5"/>
      <c r="S482" s="5"/>
      <c r="T482" s="5" t="s">
        <v>42</v>
      </c>
      <c r="U482" s="5" t="s">
        <v>2161</v>
      </c>
      <c r="V482" s="5" t="n">
        <v>-3.819954</v>
      </c>
      <c r="W482" s="5" t="n">
        <v>-38.452228</v>
      </c>
    </row>
    <row r="483" customFormat="false" ht="23.25" hidden="false" customHeight="true" outlineLevel="0" collapsed="false">
      <c r="A483" s="5" t="s">
        <v>2162</v>
      </c>
      <c r="B483" s="5" t="s">
        <v>52</v>
      </c>
      <c r="C483" s="5" t="s">
        <v>2163</v>
      </c>
      <c r="D483" s="5" t="s">
        <v>2164</v>
      </c>
      <c r="E483" s="5" t="s">
        <v>369</v>
      </c>
      <c r="F483" s="5" t="n">
        <v>74</v>
      </c>
      <c r="G483" s="5" t="s">
        <v>64</v>
      </c>
      <c r="H483" s="5" t="n">
        <v>10</v>
      </c>
      <c r="I483" s="5" t="n">
        <v>34</v>
      </c>
      <c r="J483" s="5"/>
      <c r="K483" s="5" t="n">
        <v>20</v>
      </c>
      <c r="L483" s="5" t="s">
        <v>42</v>
      </c>
      <c r="M483" s="5"/>
      <c r="N483" s="5" t="s">
        <v>43</v>
      </c>
      <c r="O483" s="5"/>
      <c r="P483" s="5"/>
      <c r="Q483" s="6" t="n">
        <v>0</v>
      </c>
      <c r="R483" s="5"/>
      <c r="S483" s="5"/>
      <c r="T483" s="5" t="s">
        <v>42</v>
      </c>
      <c r="U483" s="5" t="s">
        <v>2165</v>
      </c>
      <c r="V483" s="5" t="n">
        <v>-3.821021</v>
      </c>
      <c r="W483" s="5" t="n">
        <v>-38.608534</v>
      </c>
    </row>
    <row r="484" customFormat="false" ht="23.25" hidden="false" customHeight="true" outlineLevel="0" collapsed="false">
      <c r="A484" s="5" t="s">
        <v>2166</v>
      </c>
      <c r="B484" s="5" t="s">
        <v>36</v>
      </c>
      <c r="C484" s="5" t="s">
        <v>2167</v>
      </c>
      <c r="D484" s="5" t="s">
        <v>2168</v>
      </c>
      <c r="E484" s="5" t="s">
        <v>374</v>
      </c>
      <c r="F484" s="5" t="n">
        <v>61</v>
      </c>
      <c r="G484" s="5" t="s">
        <v>330</v>
      </c>
      <c r="H484" s="5" t="n">
        <v>9</v>
      </c>
      <c r="I484" s="5" t="n">
        <v>32</v>
      </c>
      <c r="J484" s="5" t="s">
        <v>41</v>
      </c>
      <c r="K484" s="5" t="n">
        <v>11</v>
      </c>
      <c r="L484" s="5" t="s">
        <v>44</v>
      </c>
      <c r="M484" s="5" t="s">
        <v>385</v>
      </c>
      <c r="N484" s="5" t="s">
        <v>569</v>
      </c>
      <c r="O484" s="5"/>
      <c r="P484" s="5"/>
      <c r="Q484" s="5"/>
      <c r="R484" s="5"/>
      <c r="S484" s="5"/>
      <c r="T484" s="5" t="s">
        <v>44</v>
      </c>
      <c r="U484" s="5" t="s">
        <v>2169</v>
      </c>
      <c r="V484" s="5" t="n">
        <v>-3.849679</v>
      </c>
      <c r="W484" s="5" t="n">
        <v>-38.520696</v>
      </c>
    </row>
    <row r="485" customFormat="false" ht="23.25" hidden="false" customHeight="true" outlineLevel="0" collapsed="false">
      <c r="A485" s="5" t="s">
        <v>2170</v>
      </c>
      <c r="B485" s="5" t="s">
        <v>52</v>
      </c>
      <c r="C485" s="5" t="s">
        <v>2171</v>
      </c>
      <c r="D485" s="5" t="s">
        <v>1042</v>
      </c>
      <c r="E485" s="5" t="s">
        <v>374</v>
      </c>
      <c r="F485" s="5" t="n">
        <v>61</v>
      </c>
      <c r="G485" s="5" t="s">
        <v>330</v>
      </c>
      <c r="H485" s="5" t="n">
        <v>9</v>
      </c>
      <c r="I485" s="5" t="n">
        <v>32</v>
      </c>
      <c r="J485" s="5"/>
      <c r="K485" s="5" t="n">
        <v>20</v>
      </c>
      <c r="L485" s="5" t="s">
        <v>44</v>
      </c>
      <c r="M485" s="5" t="s">
        <v>97</v>
      </c>
      <c r="N485" s="5" t="s">
        <v>43</v>
      </c>
      <c r="O485" s="5"/>
      <c r="P485" s="5"/>
      <c r="Q485" s="6" t="n">
        <v>0</v>
      </c>
      <c r="R485" s="5"/>
      <c r="S485" s="5"/>
      <c r="T485" s="5" t="s">
        <v>42</v>
      </c>
      <c r="U485" s="5" t="s">
        <v>1044</v>
      </c>
      <c r="V485" s="5" t="n">
        <v>-3.844662</v>
      </c>
      <c r="W485" s="5" t="n">
        <v>-38.506852</v>
      </c>
    </row>
    <row r="486" customFormat="false" ht="23.25" hidden="false" customHeight="true" outlineLevel="0" collapsed="false">
      <c r="A486" s="5" t="s">
        <v>2172</v>
      </c>
      <c r="B486" s="5" t="s">
        <v>36</v>
      </c>
      <c r="C486" s="5" t="s">
        <v>2173</v>
      </c>
      <c r="D486" s="5" t="s">
        <v>2174</v>
      </c>
      <c r="E486" s="5" t="s">
        <v>788</v>
      </c>
      <c r="F486" s="5" t="n">
        <v>51</v>
      </c>
      <c r="G486" s="5" t="s">
        <v>330</v>
      </c>
      <c r="H486" s="5" t="n">
        <v>9</v>
      </c>
      <c r="I486" s="5" t="n">
        <v>31</v>
      </c>
      <c r="J486" s="5" t="s">
        <v>41</v>
      </c>
      <c r="K486" s="5" t="n">
        <v>11</v>
      </c>
      <c r="L486" s="5" t="s">
        <v>44</v>
      </c>
      <c r="M486" s="5" t="s">
        <v>385</v>
      </c>
      <c r="N486" s="5" t="s">
        <v>569</v>
      </c>
      <c r="O486" s="5"/>
      <c r="P486" s="5"/>
      <c r="Q486" s="5"/>
      <c r="R486" s="5"/>
      <c r="S486" s="5"/>
      <c r="T486" s="5" t="s">
        <v>44</v>
      </c>
      <c r="U486" s="5" t="s">
        <v>2175</v>
      </c>
      <c r="V486" s="5" t="n">
        <v>-3.823921</v>
      </c>
      <c r="W486" s="5" t="n">
        <v>-38.514076</v>
      </c>
    </row>
    <row r="487" customFormat="false" ht="23.25" hidden="false" customHeight="true" outlineLevel="0" collapsed="false">
      <c r="A487" s="5" t="s">
        <v>2176</v>
      </c>
      <c r="B487" s="5" t="s">
        <v>52</v>
      </c>
      <c r="C487" s="5" t="s">
        <v>2177</v>
      </c>
      <c r="D487" s="5" t="s">
        <v>2178</v>
      </c>
      <c r="E487" s="5" t="s">
        <v>141</v>
      </c>
      <c r="F487" s="5" t="n">
        <v>104</v>
      </c>
      <c r="G487" s="5" t="s">
        <v>96</v>
      </c>
      <c r="H487" s="5" t="n">
        <v>11</v>
      </c>
      <c r="I487" s="5" t="n">
        <v>36</v>
      </c>
      <c r="J487" s="5"/>
      <c r="K487" s="5" t="n">
        <v>20</v>
      </c>
      <c r="L487" s="5" t="s">
        <v>42</v>
      </c>
      <c r="M487" s="5"/>
      <c r="N487" s="5" t="s">
        <v>43</v>
      </c>
      <c r="O487" s="6" t="n">
        <v>70366.2</v>
      </c>
      <c r="P487" s="5" t="s">
        <v>311</v>
      </c>
      <c r="Q487" s="6" t="n">
        <v>70366.2</v>
      </c>
      <c r="R487" s="5" t="s">
        <v>2179</v>
      </c>
      <c r="S487" s="5"/>
      <c r="T487" s="5" t="s">
        <v>42</v>
      </c>
      <c r="U487" s="5" t="s">
        <v>2180</v>
      </c>
      <c r="V487" s="5" t="n">
        <v>-3.757319</v>
      </c>
      <c r="W487" s="5" t="n">
        <v>-38.565339</v>
      </c>
    </row>
    <row r="488" customFormat="false" ht="23.25" hidden="false" customHeight="true" outlineLevel="0" collapsed="false">
      <c r="A488" s="5" t="s">
        <v>2181</v>
      </c>
      <c r="B488" s="5" t="s">
        <v>52</v>
      </c>
      <c r="C488" s="5" t="s">
        <v>2182</v>
      </c>
      <c r="D488" s="5" t="s">
        <v>2183</v>
      </c>
      <c r="E488" s="5" t="s">
        <v>2184</v>
      </c>
      <c r="F488" s="5" t="n">
        <v>26</v>
      </c>
      <c r="G488" s="5" t="s">
        <v>56</v>
      </c>
      <c r="H488" s="5" t="n">
        <v>2</v>
      </c>
      <c r="I488" s="5" t="n">
        <v>9</v>
      </c>
      <c r="J488" s="5" t="s">
        <v>41</v>
      </c>
      <c r="K488" s="5" t="n">
        <v>8</v>
      </c>
      <c r="L488" s="5" t="s">
        <v>42</v>
      </c>
      <c r="M488" s="5"/>
      <c r="N488" s="5" t="s">
        <v>569</v>
      </c>
      <c r="O488" s="5"/>
      <c r="P488" s="5"/>
      <c r="Q488" s="5"/>
      <c r="R488" s="5"/>
      <c r="S488" s="5"/>
      <c r="T488" s="5" t="s">
        <v>44</v>
      </c>
      <c r="U488" s="5" t="s">
        <v>2185</v>
      </c>
      <c r="V488" s="5" t="n">
        <v>-3.728842</v>
      </c>
      <c r="W488" s="5" t="n">
        <v>-38.485392</v>
      </c>
    </row>
    <row r="489" customFormat="false" ht="23.25" hidden="false" customHeight="true" outlineLevel="0" collapsed="false">
      <c r="A489" s="5" t="s">
        <v>2186</v>
      </c>
      <c r="B489" s="5" t="s">
        <v>52</v>
      </c>
      <c r="C489" s="5" t="s">
        <v>2187</v>
      </c>
      <c r="D489" s="5" t="s">
        <v>2188</v>
      </c>
      <c r="E489" s="5" t="s">
        <v>1375</v>
      </c>
      <c r="F489" s="5" t="n">
        <v>65</v>
      </c>
      <c r="G489" s="5" t="s">
        <v>330</v>
      </c>
      <c r="H489" s="5" t="n">
        <v>6</v>
      </c>
      <c r="I489" s="5" t="n">
        <v>28</v>
      </c>
      <c r="J489" s="5" t="s">
        <v>568</v>
      </c>
      <c r="K489" s="5" t="n">
        <v>15</v>
      </c>
      <c r="L489" s="5" t="s">
        <v>42</v>
      </c>
      <c r="M489" s="5"/>
      <c r="N489" s="5" t="s">
        <v>569</v>
      </c>
      <c r="O489" s="5"/>
      <c r="P489" s="5"/>
      <c r="Q489" s="5"/>
      <c r="R489" s="5"/>
      <c r="S489" s="5"/>
      <c r="T489" s="5" t="s">
        <v>42</v>
      </c>
      <c r="U489" s="5" t="s">
        <v>2189</v>
      </c>
      <c r="V489" s="5" t="n">
        <v>-3.830615</v>
      </c>
      <c r="W489" s="5" t="n">
        <v>-38.491923</v>
      </c>
    </row>
    <row r="490" customFormat="false" ht="23.25" hidden="false" customHeight="true" outlineLevel="0" collapsed="false">
      <c r="A490" s="5" t="s">
        <v>2190</v>
      </c>
      <c r="B490" s="5" t="s">
        <v>52</v>
      </c>
      <c r="C490" s="5" t="s">
        <v>2191</v>
      </c>
      <c r="D490" s="5" t="s">
        <v>954</v>
      </c>
      <c r="E490" s="5" t="s">
        <v>369</v>
      </c>
      <c r="F490" s="5" t="n">
        <v>74</v>
      </c>
      <c r="G490" s="5" t="s">
        <v>64</v>
      </c>
      <c r="H490" s="5" t="n">
        <v>10</v>
      </c>
      <c r="I490" s="5" t="n">
        <v>34</v>
      </c>
      <c r="J490" s="5"/>
      <c r="K490" s="5" t="n">
        <v>20</v>
      </c>
      <c r="L490" s="5" t="s">
        <v>42</v>
      </c>
      <c r="M490" s="5"/>
      <c r="N490" s="5" t="s">
        <v>43</v>
      </c>
      <c r="O490" s="5"/>
      <c r="P490" s="5"/>
      <c r="Q490" s="6" t="n">
        <v>0</v>
      </c>
      <c r="R490" s="5"/>
      <c r="S490" s="5"/>
      <c r="T490" s="5" t="s">
        <v>42</v>
      </c>
      <c r="U490" s="5" t="s">
        <v>956</v>
      </c>
      <c r="V490" s="5" t="n">
        <v>-3.817308</v>
      </c>
      <c r="W490" s="5" t="n">
        <v>-38.602224</v>
      </c>
    </row>
    <row r="491" customFormat="false" ht="23.25" hidden="false" customHeight="true" outlineLevel="0" collapsed="false">
      <c r="A491" s="5" t="s">
        <v>2192</v>
      </c>
      <c r="B491" s="5" t="s">
        <v>52</v>
      </c>
      <c r="C491" s="5" t="s">
        <v>2193</v>
      </c>
      <c r="D491" s="5" t="s">
        <v>2194</v>
      </c>
      <c r="E491" s="5" t="s">
        <v>1724</v>
      </c>
      <c r="F491" s="5" t="n">
        <v>81</v>
      </c>
      <c r="G491" s="5" t="s">
        <v>64</v>
      </c>
      <c r="H491" s="5" t="n">
        <v>10</v>
      </c>
      <c r="I491" s="5" t="n">
        <v>35</v>
      </c>
      <c r="J491" s="5"/>
      <c r="K491" s="5" t="n">
        <v>20</v>
      </c>
      <c r="L491" s="5" t="s">
        <v>42</v>
      </c>
      <c r="M491" s="5"/>
      <c r="N491" s="5" t="s">
        <v>43</v>
      </c>
      <c r="O491" s="5"/>
      <c r="P491" s="5"/>
      <c r="Q491" s="6" t="n">
        <v>0</v>
      </c>
      <c r="R491" s="5"/>
      <c r="S491" s="5"/>
      <c r="T491" s="5" t="s">
        <v>42</v>
      </c>
      <c r="U491" s="5" t="s">
        <v>2195</v>
      </c>
      <c r="V491" s="5" t="n">
        <v>-3.797705</v>
      </c>
      <c r="W491" s="5" t="n">
        <v>-38.580993</v>
      </c>
    </row>
    <row r="492" customFormat="false" ht="57" hidden="false" customHeight="true" outlineLevel="0" collapsed="false">
      <c r="A492" s="5" t="s">
        <v>2196</v>
      </c>
      <c r="B492" s="5" t="s">
        <v>52</v>
      </c>
      <c r="C492" s="5" t="s">
        <v>2197</v>
      </c>
      <c r="D492" s="5" t="s">
        <v>2198</v>
      </c>
      <c r="E492" s="5" t="s">
        <v>788</v>
      </c>
      <c r="F492" s="5" t="n">
        <v>51</v>
      </c>
      <c r="G492" s="5" t="s">
        <v>330</v>
      </c>
      <c r="H492" s="5" t="n">
        <v>9</v>
      </c>
      <c r="I492" s="5" t="n">
        <v>31</v>
      </c>
      <c r="J492" s="5" t="s">
        <v>57</v>
      </c>
      <c r="K492" s="5" t="n">
        <v>20</v>
      </c>
      <c r="L492" s="5" t="s">
        <v>44</v>
      </c>
      <c r="M492" s="5" t="s">
        <v>385</v>
      </c>
      <c r="N492" s="5" t="s">
        <v>58</v>
      </c>
      <c r="O492" s="6" t="n">
        <v>25850.56</v>
      </c>
      <c r="P492" s="5" t="s">
        <v>2199</v>
      </c>
      <c r="Q492" s="6" t="n">
        <v>25850.56</v>
      </c>
      <c r="R492" s="5" t="s">
        <v>2200</v>
      </c>
      <c r="S492" s="5" t="s">
        <v>728</v>
      </c>
      <c r="T492" s="5" t="s">
        <v>44</v>
      </c>
      <c r="U492" s="5" t="s">
        <v>2201</v>
      </c>
      <c r="V492" s="5" t="n">
        <v>-3.814959</v>
      </c>
      <c r="W492" s="5" t="n">
        <v>-38.509993</v>
      </c>
    </row>
    <row r="493" customFormat="false" ht="23.25" hidden="false" customHeight="true" outlineLevel="0" collapsed="false">
      <c r="A493" s="5" t="s">
        <v>2202</v>
      </c>
      <c r="B493" s="5" t="s">
        <v>52</v>
      </c>
      <c r="C493" s="5" t="s">
        <v>2203</v>
      </c>
      <c r="D493" s="5" t="s">
        <v>2204</v>
      </c>
      <c r="E493" s="5" t="s">
        <v>356</v>
      </c>
      <c r="F493" s="5" t="n">
        <v>117</v>
      </c>
      <c r="G493" s="5" t="s">
        <v>330</v>
      </c>
      <c r="H493" s="5" t="n">
        <v>9</v>
      </c>
      <c r="I493" s="5" t="n">
        <v>32</v>
      </c>
      <c r="J493" s="5" t="s">
        <v>568</v>
      </c>
      <c r="K493" s="5" t="n">
        <v>15</v>
      </c>
      <c r="L493" s="5" t="s">
        <v>42</v>
      </c>
      <c r="M493" s="5"/>
      <c r="N493" s="5" t="s">
        <v>569</v>
      </c>
      <c r="O493" s="5"/>
      <c r="P493" s="5"/>
      <c r="Q493" s="5"/>
      <c r="R493" s="5"/>
      <c r="S493" s="5"/>
      <c r="T493" s="5" t="s">
        <v>42</v>
      </c>
      <c r="U493" s="5" t="s">
        <v>2205</v>
      </c>
      <c r="V493" s="5" t="n">
        <v>-3.845737</v>
      </c>
      <c r="W493" s="5" t="n">
        <v>-38.523053</v>
      </c>
    </row>
    <row r="494" customFormat="false" ht="23.25" hidden="false" customHeight="true" outlineLevel="0" collapsed="false">
      <c r="A494" s="5" t="s">
        <v>2206</v>
      </c>
      <c r="B494" s="5" t="s">
        <v>52</v>
      </c>
      <c r="C494" s="5" t="s">
        <v>2207</v>
      </c>
      <c r="D494" s="5" t="s">
        <v>2208</v>
      </c>
      <c r="E494" s="5" t="s">
        <v>171</v>
      </c>
      <c r="F494" s="5" t="n">
        <v>83</v>
      </c>
      <c r="G494" s="5" t="s">
        <v>64</v>
      </c>
      <c r="H494" s="5" t="n">
        <v>10</v>
      </c>
      <c r="I494" s="5" t="n">
        <v>35</v>
      </c>
      <c r="J494" s="5"/>
      <c r="K494" s="5" t="n">
        <v>20</v>
      </c>
      <c r="L494" s="5" t="s">
        <v>44</v>
      </c>
      <c r="M494" s="5" t="s">
        <v>97</v>
      </c>
      <c r="N494" s="5" t="s">
        <v>43</v>
      </c>
      <c r="O494" s="5"/>
      <c r="P494" s="5"/>
      <c r="Q494" s="6" t="n">
        <v>0</v>
      </c>
      <c r="R494" s="5"/>
      <c r="S494" s="5"/>
      <c r="T494" s="5" t="s">
        <v>42</v>
      </c>
      <c r="U494" s="5" t="s">
        <v>2209</v>
      </c>
      <c r="V494" s="5" t="n">
        <v>-3.818793</v>
      </c>
      <c r="W494" s="5" t="n">
        <v>-38.558056</v>
      </c>
    </row>
    <row r="495" customFormat="false" ht="23.25" hidden="false" customHeight="true" outlineLevel="0" collapsed="false">
      <c r="A495" s="5" t="s">
        <v>2210</v>
      </c>
      <c r="B495" s="5" t="s">
        <v>275</v>
      </c>
      <c r="C495" s="5" t="s">
        <v>2211</v>
      </c>
      <c r="D495" s="5" t="s">
        <v>2212</v>
      </c>
      <c r="E495" s="5" t="s">
        <v>793</v>
      </c>
      <c r="F495" s="5" t="n">
        <v>110</v>
      </c>
      <c r="G495" s="5" t="s">
        <v>56</v>
      </c>
      <c r="H495" s="5" t="n">
        <v>2</v>
      </c>
      <c r="I495" s="5" t="n">
        <v>9</v>
      </c>
      <c r="J495" s="5" t="s">
        <v>41</v>
      </c>
      <c r="K495" s="5" t="n">
        <v>12</v>
      </c>
      <c r="L495" s="5" t="s">
        <v>44</v>
      </c>
      <c r="M495" s="5" t="s">
        <v>385</v>
      </c>
      <c r="N495" s="5" t="s">
        <v>569</v>
      </c>
      <c r="O495" s="5"/>
      <c r="P495" s="5"/>
      <c r="Q495" s="5"/>
      <c r="R495" s="5"/>
      <c r="S495" s="5"/>
      <c r="T495" s="5" t="s">
        <v>44</v>
      </c>
      <c r="U495" s="5" t="s">
        <v>2213</v>
      </c>
      <c r="V495" s="5" t="n">
        <v>-3.772702</v>
      </c>
      <c r="W495" s="5" t="n">
        <v>-38.476879</v>
      </c>
    </row>
    <row r="496" customFormat="false" ht="23.25" hidden="false" customHeight="true" outlineLevel="0" collapsed="false">
      <c r="A496" s="5" t="s">
        <v>2214</v>
      </c>
      <c r="B496" s="5" t="s">
        <v>52</v>
      </c>
      <c r="C496" s="5" t="s">
        <v>2215</v>
      </c>
      <c r="D496" s="5" t="s">
        <v>2216</v>
      </c>
      <c r="E496" s="5" t="s">
        <v>989</v>
      </c>
      <c r="F496" s="5" t="n">
        <v>59</v>
      </c>
      <c r="G496" s="5" t="s">
        <v>330</v>
      </c>
      <c r="H496" s="5" t="n">
        <v>6</v>
      </c>
      <c r="I496" s="5" t="n">
        <v>29</v>
      </c>
      <c r="J496" s="5" t="s">
        <v>568</v>
      </c>
      <c r="K496" s="5" t="n">
        <v>20</v>
      </c>
      <c r="L496" s="5" t="s">
        <v>42</v>
      </c>
      <c r="M496" s="5"/>
      <c r="N496" s="5" t="s">
        <v>569</v>
      </c>
      <c r="O496" s="5"/>
      <c r="P496" s="5"/>
      <c r="Q496" s="5"/>
      <c r="R496" s="5"/>
      <c r="S496" s="5"/>
      <c r="T496" s="5" t="s">
        <v>42</v>
      </c>
      <c r="U496" s="5" t="s">
        <v>2217</v>
      </c>
      <c r="V496" s="5" t="n">
        <v>-3.82612</v>
      </c>
      <c r="W496" s="5" t="n">
        <v>-38.477355</v>
      </c>
    </row>
    <row r="497" customFormat="false" ht="23.25" hidden="false" customHeight="true" outlineLevel="0" collapsed="false">
      <c r="A497" s="5" t="s">
        <v>2218</v>
      </c>
      <c r="B497" s="5" t="s">
        <v>52</v>
      </c>
      <c r="C497" s="5" t="s">
        <v>2219</v>
      </c>
      <c r="D497" s="5" t="s">
        <v>2220</v>
      </c>
      <c r="E497" s="5" t="s">
        <v>1006</v>
      </c>
      <c r="F497" s="5" t="n">
        <v>64</v>
      </c>
      <c r="G497" s="5" t="s">
        <v>56</v>
      </c>
      <c r="H497" s="5" t="n">
        <v>7</v>
      </c>
      <c r="I497" s="5" t="n">
        <v>25</v>
      </c>
      <c r="J497" s="5"/>
      <c r="K497" s="5" t="n">
        <v>20</v>
      </c>
      <c r="L497" s="5" t="s">
        <v>42</v>
      </c>
      <c r="M497" s="5"/>
      <c r="N497" s="5" t="s">
        <v>43</v>
      </c>
      <c r="O497" s="5"/>
      <c r="P497" s="5"/>
      <c r="Q497" s="6" t="n">
        <v>0</v>
      </c>
      <c r="R497" s="5"/>
      <c r="S497" s="5"/>
      <c r="T497" s="5" t="s">
        <v>42</v>
      </c>
      <c r="U497" s="5" t="s">
        <v>2221</v>
      </c>
      <c r="V497" s="5" t="n">
        <v>-3.790523</v>
      </c>
      <c r="W497" s="5" t="n">
        <v>-38.466493</v>
      </c>
    </row>
    <row r="498" customFormat="false" ht="23.25" hidden="false" customHeight="true" outlineLevel="0" collapsed="false">
      <c r="A498" s="5" t="s">
        <v>2222</v>
      </c>
      <c r="B498" s="5" t="s">
        <v>52</v>
      </c>
      <c r="C498" s="5" t="s">
        <v>2223</v>
      </c>
      <c r="D498" s="5" t="s">
        <v>250</v>
      </c>
      <c r="E498" s="5" t="s">
        <v>156</v>
      </c>
      <c r="F498" s="5" t="n">
        <v>6</v>
      </c>
      <c r="G498" s="5" t="s">
        <v>40</v>
      </c>
      <c r="H498" s="5" t="n">
        <v>1</v>
      </c>
      <c r="I498" s="5" t="n">
        <v>3</v>
      </c>
      <c r="J498" s="5"/>
      <c r="K498" s="5" t="n">
        <v>21</v>
      </c>
      <c r="L498" s="5" t="s">
        <v>42</v>
      </c>
      <c r="M498" s="5"/>
      <c r="N498" s="5" t="s">
        <v>43</v>
      </c>
      <c r="O498" s="5"/>
      <c r="P498" s="5"/>
      <c r="Q498" s="6" t="n">
        <v>0</v>
      </c>
      <c r="R498" s="5"/>
      <c r="S498" s="5"/>
      <c r="T498" s="5" t="s">
        <v>42</v>
      </c>
      <c r="U498" s="5" t="s">
        <v>251</v>
      </c>
      <c r="V498" s="5" t="n">
        <v>-3.709172</v>
      </c>
      <c r="W498" s="5" t="n">
        <v>-38.580406</v>
      </c>
    </row>
    <row r="499" customFormat="false" ht="23.25" hidden="false" customHeight="true" outlineLevel="0" collapsed="false">
      <c r="A499" s="5" t="s">
        <v>2224</v>
      </c>
      <c r="B499" s="5" t="s">
        <v>52</v>
      </c>
      <c r="C499" s="5" t="s">
        <v>2225</v>
      </c>
      <c r="D499" s="5" t="s">
        <v>2226</v>
      </c>
      <c r="E499" s="5" t="s">
        <v>343</v>
      </c>
      <c r="F499" s="5" t="n">
        <v>63</v>
      </c>
      <c r="G499" s="5" t="s">
        <v>330</v>
      </c>
      <c r="H499" s="5" t="n">
        <v>6</v>
      </c>
      <c r="I499" s="5" t="n">
        <v>29</v>
      </c>
      <c r="J499" s="5"/>
      <c r="K499" s="5" t="n">
        <v>21</v>
      </c>
      <c r="L499" s="5" t="s">
        <v>42</v>
      </c>
      <c r="M499" s="5"/>
      <c r="N499" s="5" t="s">
        <v>43</v>
      </c>
      <c r="O499" s="5"/>
      <c r="P499" s="5"/>
      <c r="Q499" s="6" t="n">
        <v>0</v>
      </c>
      <c r="R499" s="5"/>
      <c r="S499" s="5"/>
      <c r="T499" s="5" t="s">
        <v>42</v>
      </c>
      <c r="U499" s="5" t="s">
        <v>2227</v>
      </c>
      <c r="V499" s="5" t="n">
        <v>-3.829393</v>
      </c>
      <c r="W499" s="5" t="n">
        <v>-38.466867</v>
      </c>
    </row>
    <row r="500" customFormat="false" ht="23.25" hidden="false" customHeight="true" outlineLevel="0" collapsed="false">
      <c r="A500" s="5" t="s">
        <v>2228</v>
      </c>
      <c r="B500" s="5" t="s">
        <v>275</v>
      </c>
      <c r="C500" s="5" t="s">
        <v>2229</v>
      </c>
      <c r="D500" s="5" t="s">
        <v>1112</v>
      </c>
      <c r="E500" s="5" t="s">
        <v>161</v>
      </c>
      <c r="F500" s="5" t="n">
        <v>79</v>
      </c>
      <c r="G500" s="5" t="s">
        <v>64</v>
      </c>
      <c r="H500" s="5" t="n">
        <v>5</v>
      </c>
      <c r="I500" s="5" t="n">
        <v>39</v>
      </c>
      <c r="J500" s="5" t="s">
        <v>41</v>
      </c>
      <c r="K500" s="5" t="n">
        <v>12</v>
      </c>
      <c r="L500" s="5" t="s">
        <v>44</v>
      </c>
      <c r="M500" s="5"/>
      <c r="N500" s="5" t="s">
        <v>569</v>
      </c>
      <c r="O500" s="5"/>
      <c r="P500" s="5"/>
      <c r="Q500" s="5"/>
      <c r="R500" s="5"/>
      <c r="S500" s="5"/>
      <c r="T500" s="5" t="s">
        <v>44</v>
      </c>
      <c r="U500" s="5" t="s">
        <v>1113</v>
      </c>
      <c r="V500" s="5" t="n">
        <v>-3.785873</v>
      </c>
      <c r="W500" s="5" t="n">
        <v>-38.605394</v>
      </c>
    </row>
    <row r="501" customFormat="false" ht="23.25" hidden="false" customHeight="true" outlineLevel="0" collapsed="false">
      <c r="A501" s="5" t="s">
        <v>2230</v>
      </c>
      <c r="B501" s="5" t="s">
        <v>52</v>
      </c>
      <c r="C501" s="5" t="s">
        <v>2231</v>
      </c>
      <c r="D501" s="5" t="s">
        <v>2232</v>
      </c>
      <c r="E501" s="5" t="s">
        <v>329</v>
      </c>
      <c r="F501" s="5" t="n">
        <v>120</v>
      </c>
      <c r="G501" s="5" t="s">
        <v>330</v>
      </c>
      <c r="H501" s="5" t="n">
        <v>9</v>
      </c>
      <c r="I501" s="5" t="n">
        <v>33</v>
      </c>
      <c r="J501" s="5"/>
      <c r="K501" s="5" t="n">
        <v>22</v>
      </c>
      <c r="L501" s="5" t="s">
        <v>42</v>
      </c>
      <c r="M501" s="5"/>
      <c r="N501" s="5" t="s">
        <v>43</v>
      </c>
      <c r="O501" s="5"/>
      <c r="P501" s="5"/>
      <c r="Q501" s="6" t="n">
        <v>0</v>
      </c>
      <c r="R501" s="5"/>
      <c r="S501" s="5"/>
      <c r="T501" s="5" t="s">
        <v>42</v>
      </c>
      <c r="U501" s="5" t="s">
        <v>2233</v>
      </c>
      <c r="V501" s="5" t="n">
        <v>-3.851326</v>
      </c>
      <c r="W501" s="5" t="n">
        <v>-38.50195</v>
      </c>
    </row>
    <row r="502" customFormat="false" ht="23.25" hidden="false" customHeight="true" outlineLevel="0" collapsed="false">
      <c r="A502" s="5" t="s">
        <v>2234</v>
      </c>
      <c r="B502" s="5" t="s">
        <v>52</v>
      </c>
      <c r="C502" s="5" t="s">
        <v>2235</v>
      </c>
      <c r="D502" s="5" t="s">
        <v>2236</v>
      </c>
      <c r="E502" s="5" t="s">
        <v>1811</v>
      </c>
      <c r="F502" s="5" t="n">
        <v>62</v>
      </c>
      <c r="G502" s="5" t="s">
        <v>330</v>
      </c>
      <c r="H502" s="5" t="n">
        <v>6</v>
      </c>
      <c r="I502" s="5" t="n">
        <v>27</v>
      </c>
      <c r="J502" s="5" t="s">
        <v>568</v>
      </c>
      <c r="K502" s="5" t="n">
        <v>20</v>
      </c>
      <c r="L502" s="5" t="s">
        <v>44</v>
      </c>
      <c r="M502" s="5" t="s">
        <v>97</v>
      </c>
      <c r="N502" s="5" t="s">
        <v>569</v>
      </c>
      <c r="O502" s="5"/>
      <c r="P502" s="5"/>
      <c r="Q502" s="5"/>
      <c r="R502" s="5"/>
      <c r="S502" s="5"/>
      <c r="T502" s="5" t="s">
        <v>42</v>
      </c>
      <c r="U502" s="5" t="s">
        <v>2237</v>
      </c>
      <c r="V502" s="5" t="n">
        <v>-3.783156</v>
      </c>
      <c r="W502" s="5" t="n">
        <v>-38.502876</v>
      </c>
    </row>
    <row r="503" customFormat="false" ht="23.25" hidden="false" customHeight="true" outlineLevel="0" collapsed="false">
      <c r="A503" s="5" t="s">
        <v>2238</v>
      </c>
      <c r="B503" s="5" t="s">
        <v>52</v>
      </c>
      <c r="C503" s="5" t="s">
        <v>2239</v>
      </c>
      <c r="D503" s="5" t="s">
        <v>2240</v>
      </c>
      <c r="E503" s="5" t="s">
        <v>2184</v>
      </c>
      <c r="F503" s="5" t="n">
        <v>26</v>
      </c>
      <c r="G503" s="5" t="s">
        <v>56</v>
      </c>
      <c r="H503" s="5" t="n">
        <v>2</v>
      </c>
      <c r="I503" s="5" t="n">
        <v>9</v>
      </c>
      <c r="J503" s="5"/>
      <c r="K503" s="5" t="n">
        <v>22</v>
      </c>
      <c r="L503" s="5" t="s">
        <v>42</v>
      </c>
      <c r="M503" s="5"/>
      <c r="N503" s="5" t="s">
        <v>43</v>
      </c>
      <c r="O503" s="6" t="n">
        <v>106826.33</v>
      </c>
      <c r="P503" s="5" t="s">
        <v>311</v>
      </c>
      <c r="Q503" s="6" t="n">
        <v>106826.33</v>
      </c>
      <c r="R503" s="5" t="s">
        <v>2241</v>
      </c>
      <c r="S503" s="5"/>
      <c r="T503" s="5" t="s">
        <v>42</v>
      </c>
      <c r="U503" s="5" t="s">
        <v>2242</v>
      </c>
      <c r="V503" s="5" t="n">
        <v>-3.725663</v>
      </c>
      <c r="W503" s="5" t="n">
        <v>-38.483831</v>
      </c>
    </row>
    <row r="504" customFormat="false" ht="23.25" hidden="false" customHeight="true" outlineLevel="0" collapsed="false">
      <c r="A504" s="5" t="s">
        <v>2243</v>
      </c>
      <c r="B504" s="5" t="s">
        <v>52</v>
      </c>
      <c r="C504" s="5" t="s">
        <v>2244</v>
      </c>
      <c r="D504" s="5" t="s">
        <v>2245</v>
      </c>
      <c r="E504" s="5" t="s">
        <v>783</v>
      </c>
      <c r="F504" s="5" t="n">
        <v>106</v>
      </c>
      <c r="G504" s="5" t="s">
        <v>96</v>
      </c>
      <c r="H504" s="5" t="n">
        <v>11</v>
      </c>
      <c r="I504" s="5" t="n">
        <v>36</v>
      </c>
      <c r="J504" s="5"/>
      <c r="K504" s="5" t="n">
        <v>22</v>
      </c>
      <c r="L504" s="5" t="s">
        <v>42</v>
      </c>
      <c r="M504" s="5"/>
      <c r="N504" s="5" t="s">
        <v>43</v>
      </c>
      <c r="O504" s="5"/>
      <c r="P504" s="5"/>
      <c r="Q504" s="6" t="n">
        <v>0</v>
      </c>
      <c r="R504" s="5"/>
      <c r="S504" s="5"/>
      <c r="T504" s="5" t="s">
        <v>42</v>
      </c>
      <c r="U504" s="5" t="s">
        <v>2246</v>
      </c>
      <c r="V504" s="5" t="n">
        <v>-3.755625</v>
      </c>
      <c r="W504" s="5" t="n">
        <v>-38.575137</v>
      </c>
    </row>
    <row r="505" customFormat="false" ht="23.25" hidden="false" customHeight="true" outlineLevel="0" collapsed="false">
      <c r="A505" s="5" t="s">
        <v>2247</v>
      </c>
      <c r="B505" s="5" t="s">
        <v>52</v>
      </c>
      <c r="C505" s="5" t="s">
        <v>2248</v>
      </c>
      <c r="D505" s="5" t="s">
        <v>2249</v>
      </c>
      <c r="E505" s="5" t="s">
        <v>374</v>
      </c>
      <c r="F505" s="5" t="n">
        <v>61</v>
      </c>
      <c r="G505" s="5" t="s">
        <v>330</v>
      </c>
      <c r="H505" s="5" t="n">
        <v>9</v>
      </c>
      <c r="I505" s="5" t="n">
        <v>32</v>
      </c>
      <c r="J505" s="5"/>
      <c r="K505" s="5" t="n">
        <v>23</v>
      </c>
      <c r="L505" s="5" t="s">
        <v>44</v>
      </c>
      <c r="M505" s="5" t="s">
        <v>97</v>
      </c>
      <c r="N505" s="5" t="s">
        <v>43</v>
      </c>
      <c r="O505" s="5"/>
      <c r="P505" s="5"/>
      <c r="Q505" s="6" t="n">
        <v>0</v>
      </c>
      <c r="R505" s="5"/>
      <c r="S505" s="5"/>
      <c r="T505" s="5" t="s">
        <v>42</v>
      </c>
      <c r="U505" s="5" t="s">
        <v>2250</v>
      </c>
      <c r="V505" s="5" t="n">
        <v>-3.831467</v>
      </c>
      <c r="W505" s="5" t="n">
        <v>-38.518746</v>
      </c>
    </row>
    <row r="506" customFormat="false" ht="34.5" hidden="false" customHeight="true" outlineLevel="0" collapsed="false">
      <c r="A506" s="5" t="s">
        <v>2251</v>
      </c>
      <c r="B506" s="5" t="s">
        <v>52</v>
      </c>
      <c r="C506" s="5" t="s">
        <v>2252</v>
      </c>
      <c r="D506" s="5" t="s">
        <v>2253</v>
      </c>
      <c r="E506" s="5" t="s">
        <v>190</v>
      </c>
      <c r="F506" s="5" t="n">
        <v>57</v>
      </c>
      <c r="G506" s="5" t="s">
        <v>56</v>
      </c>
      <c r="H506" s="5" t="n">
        <v>7</v>
      </c>
      <c r="I506" s="5" t="n">
        <v>25</v>
      </c>
      <c r="J506" s="5"/>
      <c r="K506" s="5" t="n">
        <v>23</v>
      </c>
      <c r="L506" s="5" t="s">
        <v>42</v>
      </c>
      <c r="M506" s="5"/>
      <c r="N506" s="5" t="s">
        <v>43</v>
      </c>
      <c r="O506" s="5"/>
      <c r="P506" s="5"/>
      <c r="Q506" s="6" t="n">
        <v>0</v>
      </c>
      <c r="R506" s="5"/>
      <c r="S506" s="5"/>
      <c r="T506" s="5" t="s">
        <v>42</v>
      </c>
      <c r="U506" s="5" t="s">
        <v>2254</v>
      </c>
      <c r="V506" s="5" t="n">
        <v>-3.772331</v>
      </c>
      <c r="W506" s="5" t="n">
        <v>-38.479214</v>
      </c>
    </row>
    <row r="507" customFormat="false" ht="23.25" hidden="false" customHeight="true" outlineLevel="0" collapsed="false">
      <c r="A507" s="5" t="s">
        <v>2255</v>
      </c>
      <c r="B507" s="5" t="s">
        <v>52</v>
      </c>
      <c r="C507" s="5" t="s">
        <v>2256</v>
      </c>
      <c r="D507" s="5" t="s">
        <v>2257</v>
      </c>
      <c r="E507" s="5" t="s">
        <v>180</v>
      </c>
      <c r="F507" s="5" t="n">
        <v>17</v>
      </c>
      <c r="G507" s="5" t="s">
        <v>40</v>
      </c>
      <c r="H507" s="5" t="n">
        <v>1</v>
      </c>
      <c r="I507" s="5" t="n">
        <v>6</v>
      </c>
      <c r="J507" s="5" t="s">
        <v>41</v>
      </c>
      <c r="K507" s="5" t="n">
        <v>9</v>
      </c>
      <c r="L507" s="5" t="s">
        <v>42</v>
      </c>
      <c r="M507" s="5"/>
      <c r="N507" s="5" t="s">
        <v>569</v>
      </c>
      <c r="O507" s="5"/>
      <c r="P507" s="5"/>
      <c r="Q507" s="5"/>
      <c r="R507" s="5"/>
      <c r="S507" s="5"/>
      <c r="T507" s="5" t="s">
        <v>44</v>
      </c>
      <c r="U507" s="5" t="s">
        <v>2258</v>
      </c>
      <c r="V507" s="5" t="n">
        <v>-3.718576</v>
      </c>
      <c r="W507" s="5" t="n">
        <v>-38.579745</v>
      </c>
    </row>
    <row r="508" customFormat="false" ht="23.25" hidden="false" customHeight="true" outlineLevel="0" collapsed="false">
      <c r="A508" s="5" t="s">
        <v>2259</v>
      </c>
      <c r="B508" s="5" t="s">
        <v>52</v>
      </c>
      <c r="C508" s="5" t="s">
        <v>2260</v>
      </c>
      <c r="D508" s="5" t="s">
        <v>2261</v>
      </c>
      <c r="E508" s="5" t="s">
        <v>282</v>
      </c>
      <c r="F508" s="5" t="n">
        <v>37</v>
      </c>
      <c r="G508" s="5" t="s">
        <v>56</v>
      </c>
      <c r="H508" s="5" t="n">
        <v>2</v>
      </c>
      <c r="I508" s="5" t="n">
        <v>9</v>
      </c>
      <c r="J508" s="5"/>
      <c r="K508" s="5" t="n">
        <v>23</v>
      </c>
      <c r="L508" s="5" t="s">
        <v>42</v>
      </c>
      <c r="M508" s="5"/>
      <c r="N508" s="5" t="s">
        <v>43</v>
      </c>
      <c r="O508" s="5"/>
      <c r="P508" s="5"/>
      <c r="Q508" s="6" t="n">
        <v>0</v>
      </c>
      <c r="R508" s="5"/>
      <c r="S508" s="5"/>
      <c r="T508" s="5" t="s">
        <v>42</v>
      </c>
      <c r="U508" s="5" t="s">
        <v>2262</v>
      </c>
      <c r="V508" s="5" t="n">
        <v>-3.725214</v>
      </c>
      <c r="W508" s="5" t="n">
        <v>-38.466285</v>
      </c>
    </row>
    <row r="509" customFormat="false" ht="23.25" hidden="false" customHeight="true" outlineLevel="0" collapsed="false">
      <c r="A509" s="5" t="s">
        <v>2263</v>
      </c>
      <c r="B509" s="5" t="s">
        <v>52</v>
      </c>
      <c r="C509" s="5" t="s">
        <v>2264</v>
      </c>
      <c r="D509" s="5" t="s">
        <v>2265</v>
      </c>
      <c r="E509" s="5" t="s">
        <v>356</v>
      </c>
      <c r="F509" s="5" t="n">
        <v>117</v>
      </c>
      <c r="G509" s="5" t="s">
        <v>330</v>
      </c>
      <c r="H509" s="5" t="n">
        <v>9</v>
      </c>
      <c r="I509" s="5" t="n">
        <v>32</v>
      </c>
      <c r="J509" s="5"/>
      <c r="K509" s="5" t="n">
        <v>23</v>
      </c>
      <c r="L509" s="5" t="s">
        <v>44</v>
      </c>
      <c r="M509" s="5" t="s">
        <v>746</v>
      </c>
      <c r="N509" s="5" t="s">
        <v>43</v>
      </c>
      <c r="O509" s="6" t="n">
        <v>179200.14</v>
      </c>
      <c r="P509" s="5" t="s">
        <v>311</v>
      </c>
      <c r="Q509" s="6" t="n">
        <v>179200.14</v>
      </c>
      <c r="R509" s="5" t="s">
        <v>2266</v>
      </c>
      <c r="S509" s="5"/>
      <c r="T509" s="5" t="s">
        <v>42</v>
      </c>
      <c r="U509" s="5" t="s">
        <v>2267</v>
      </c>
      <c r="V509" s="5" t="n">
        <v>-3.851001</v>
      </c>
      <c r="W509" s="5" t="n">
        <v>-38.524773</v>
      </c>
    </row>
    <row r="510" customFormat="false" ht="23.25" hidden="false" customHeight="true" outlineLevel="0" collapsed="false">
      <c r="A510" s="5" t="s">
        <v>2268</v>
      </c>
      <c r="B510" s="5" t="s">
        <v>52</v>
      </c>
      <c r="C510" s="5" t="s">
        <v>2269</v>
      </c>
      <c r="D510" s="5" t="s">
        <v>2270</v>
      </c>
      <c r="E510" s="5" t="s">
        <v>1811</v>
      </c>
      <c r="F510" s="5" t="n">
        <v>62</v>
      </c>
      <c r="G510" s="5" t="s">
        <v>330</v>
      </c>
      <c r="H510" s="5" t="n">
        <v>6</v>
      </c>
      <c r="I510" s="5" t="n">
        <v>27</v>
      </c>
      <c r="J510" s="5" t="s">
        <v>568</v>
      </c>
      <c r="K510" s="5" t="n">
        <v>23</v>
      </c>
      <c r="L510" s="5" t="s">
        <v>44</v>
      </c>
      <c r="M510" s="5" t="s">
        <v>385</v>
      </c>
      <c r="N510" s="5" t="s">
        <v>569</v>
      </c>
      <c r="O510" s="5"/>
      <c r="P510" s="5"/>
      <c r="Q510" s="5"/>
      <c r="R510" s="5"/>
      <c r="S510" s="5"/>
      <c r="T510" s="5" t="s">
        <v>42</v>
      </c>
      <c r="U510" s="5" t="s">
        <v>2271</v>
      </c>
      <c r="V510" s="5" t="n">
        <v>-3.784059</v>
      </c>
      <c r="W510" s="5" t="n">
        <v>-38.498545</v>
      </c>
    </row>
    <row r="511" customFormat="false" ht="23.25" hidden="false" customHeight="true" outlineLevel="0" collapsed="false">
      <c r="A511" s="5" t="s">
        <v>2272</v>
      </c>
      <c r="B511" s="5" t="s">
        <v>52</v>
      </c>
      <c r="C511" s="5" t="s">
        <v>2273</v>
      </c>
      <c r="D511" s="5" t="s">
        <v>2274</v>
      </c>
      <c r="E511" s="5" t="s">
        <v>522</v>
      </c>
      <c r="F511" s="5" t="n">
        <v>90</v>
      </c>
      <c r="G511" s="5" t="s">
        <v>64</v>
      </c>
      <c r="H511" s="5" t="n">
        <v>5</v>
      </c>
      <c r="I511" s="5" t="n">
        <v>39</v>
      </c>
      <c r="J511" s="5" t="s">
        <v>41</v>
      </c>
      <c r="K511" s="5" t="n">
        <v>9</v>
      </c>
      <c r="L511" s="5" t="s">
        <v>42</v>
      </c>
      <c r="M511" s="5"/>
      <c r="N511" s="5" t="s">
        <v>569</v>
      </c>
      <c r="O511" s="5"/>
      <c r="P511" s="5"/>
      <c r="Q511" s="5"/>
      <c r="R511" s="5"/>
      <c r="S511" s="5"/>
      <c r="T511" s="5" t="s">
        <v>44</v>
      </c>
      <c r="U511" s="5" t="s">
        <v>2275</v>
      </c>
      <c r="V511" s="5" t="n">
        <v>-3.804449</v>
      </c>
      <c r="W511" s="5" t="n">
        <v>-38.605757</v>
      </c>
    </row>
    <row r="512" customFormat="false" ht="23.25" hidden="false" customHeight="true" outlineLevel="0" collapsed="false">
      <c r="A512" s="5" t="s">
        <v>2276</v>
      </c>
      <c r="B512" s="5" t="s">
        <v>52</v>
      </c>
      <c r="C512" s="5" t="s">
        <v>2277</v>
      </c>
      <c r="D512" s="5" t="s">
        <v>2278</v>
      </c>
      <c r="E512" s="5" t="s">
        <v>112</v>
      </c>
      <c r="F512" s="5" t="n">
        <v>88</v>
      </c>
      <c r="G512" s="5" t="s">
        <v>71</v>
      </c>
      <c r="H512" s="5" t="n">
        <v>8</v>
      </c>
      <c r="I512" s="5" t="n">
        <v>20</v>
      </c>
      <c r="J512" s="5"/>
      <c r="K512" s="5" t="n">
        <v>24</v>
      </c>
      <c r="L512" s="5" t="s">
        <v>42</v>
      </c>
      <c r="M512" s="5"/>
      <c r="N512" s="5" t="s">
        <v>43</v>
      </c>
      <c r="O512" s="5"/>
      <c r="P512" s="5"/>
      <c r="Q512" s="6" t="n">
        <v>0</v>
      </c>
      <c r="R512" s="5"/>
      <c r="S512" s="5"/>
      <c r="T512" s="5" t="s">
        <v>42</v>
      </c>
      <c r="U512" s="5" t="s">
        <v>2279</v>
      </c>
      <c r="V512" s="5" t="n">
        <v>-3.827391</v>
      </c>
      <c r="W512" s="5" t="n">
        <v>-38.533256</v>
      </c>
    </row>
    <row r="513" customFormat="false" ht="23.25" hidden="false" customHeight="true" outlineLevel="0" collapsed="false">
      <c r="A513" s="5" t="s">
        <v>2280</v>
      </c>
      <c r="B513" s="5" t="s">
        <v>52</v>
      </c>
      <c r="C513" s="5" t="s">
        <v>2281</v>
      </c>
      <c r="D513" s="5" t="s">
        <v>2282</v>
      </c>
      <c r="E513" s="5" t="s">
        <v>379</v>
      </c>
      <c r="F513" s="5" t="n">
        <v>118</v>
      </c>
      <c r="G513" s="5" t="s">
        <v>330</v>
      </c>
      <c r="H513" s="5" t="n">
        <v>6</v>
      </c>
      <c r="I513" s="5" t="n">
        <v>30</v>
      </c>
      <c r="J513" s="5" t="s">
        <v>41</v>
      </c>
      <c r="K513" s="5" t="n">
        <v>12</v>
      </c>
      <c r="L513" s="5" t="s">
        <v>44</v>
      </c>
      <c r="M513" s="5"/>
      <c r="N513" s="5" t="s">
        <v>569</v>
      </c>
      <c r="O513" s="5"/>
      <c r="P513" s="5"/>
      <c r="Q513" s="5"/>
      <c r="R513" s="5"/>
      <c r="S513" s="5"/>
      <c r="T513" s="5" t="s">
        <v>44</v>
      </c>
      <c r="U513" s="5" t="s">
        <v>2283</v>
      </c>
      <c r="V513" s="5" t="n">
        <v>-3.856931</v>
      </c>
      <c r="W513" s="5" t="n">
        <v>-38.488691</v>
      </c>
    </row>
  </sheetData>
  <dataValidations count="2">
    <dataValidation allowBlank="true" errorStyle="stop" operator="between" showDropDown="false" showErrorMessage="false" showInputMessage="false" sqref="N2:N513" type="list">
      <formula1>LISTAS!$A$2:$A$10</formula1>
      <formula2>0</formula2>
    </dataValidation>
    <dataValidation allowBlank="true" errorStyle="stop" operator="between" showDropDown="false" showErrorMessage="false" showInputMessage="false" sqref="L2:L513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13"/>
    <col collapsed="false" customWidth="true" hidden="false" outlineLevel="0" max="8" min="8" style="1" width="15"/>
    <col collapsed="false" customWidth="true" hidden="false" outlineLevel="0" max="9" min="9" style="1" width="18"/>
    <col collapsed="false" customWidth="true" hidden="false" outlineLevel="0" max="10" min="10" style="1" width="16"/>
    <col collapsed="false" customWidth="true" hidden="false" outlineLevel="0" max="11" min="11" style="1" width="12"/>
    <col collapsed="false" customWidth="true" hidden="false" outlineLevel="0" max="12" min="12" style="1" width="38"/>
  </cols>
  <sheetData>
    <row r="1" customFormat="false" ht="23.25" hidden="false" customHeight="true" outlineLevel="0" collapsed="false">
      <c r="A1" s="4" t="s">
        <v>12</v>
      </c>
      <c r="B1" s="4" t="s">
        <v>14</v>
      </c>
      <c r="C1" s="4" t="s">
        <v>2284</v>
      </c>
      <c r="D1" s="4" t="s">
        <v>2285</v>
      </c>
      <c r="E1" s="4" t="s">
        <v>2286</v>
      </c>
      <c r="F1" s="4" t="s">
        <v>2287</v>
      </c>
      <c r="G1" s="4" t="s">
        <v>2288</v>
      </c>
      <c r="H1" s="4" t="s">
        <v>2289</v>
      </c>
      <c r="I1" s="4" t="s">
        <v>2290</v>
      </c>
      <c r="J1" s="4" t="s">
        <v>2291</v>
      </c>
      <c r="K1" s="4" t="s">
        <v>2292</v>
      </c>
      <c r="L1" s="4" t="s">
        <v>2293</v>
      </c>
    </row>
    <row r="2" customFormat="false" ht="15" hidden="false" customHeight="true" outlineLevel="0" collapsed="false">
      <c r="A2" s="5" t="s">
        <v>35</v>
      </c>
      <c r="B2" s="5" t="s">
        <v>37</v>
      </c>
      <c r="C2" s="5"/>
      <c r="D2" s="5"/>
      <c r="E2" s="5" t="s">
        <v>44</v>
      </c>
      <c r="F2" s="5"/>
      <c r="G2" s="5"/>
      <c r="H2" s="5"/>
      <c r="I2" s="5"/>
      <c r="J2" s="5"/>
      <c r="K2" s="5" t="s">
        <v>2294</v>
      </c>
      <c r="L2" s="5"/>
    </row>
    <row r="3" customFormat="false" ht="15" hidden="false" customHeight="true" outlineLevel="0" collapsed="false">
      <c r="A3" s="5" t="s">
        <v>46</v>
      </c>
      <c r="B3" s="5" t="s">
        <v>47</v>
      </c>
      <c r="C3" s="5"/>
      <c r="D3" s="5"/>
      <c r="E3" s="5" t="s">
        <v>44</v>
      </c>
      <c r="F3" s="5"/>
      <c r="G3" s="5"/>
      <c r="H3" s="5"/>
      <c r="I3" s="5"/>
      <c r="J3" s="5"/>
      <c r="K3" s="5" t="s">
        <v>2294</v>
      </c>
      <c r="L3" s="5"/>
    </row>
    <row r="4" customFormat="false" ht="23.25" hidden="false" customHeight="true" outlineLevel="0" collapsed="false">
      <c r="A4" s="5" t="s">
        <v>51</v>
      </c>
      <c r="B4" s="5" t="s">
        <v>53</v>
      </c>
      <c r="C4" s="5"/>
      <c r="D4" s="5"/>
      <c r="E4" s="5" t="s">
        <v>44</v>
      </c>
      <c r="F4" s="5"/>
      <c r="G4" s="5"/>
      <c r="H4" s="5"/>
      <c r="I4" s="5"/>
      <c r="J4" s="5"/>
      <c r="K4" s="5" t="s">
        <v>2294</v>
      </c>
      <c r="L4" s="5"/>
    </row>
    <row r="5" customFormat="false" ht="15" hidden="false" customHeight="true" outlineLevel="0" collapsed="false">
      <c r="A5" s="5" t="s">
        <v>60</v>
      </c>
      <c r="B5" s="5" t="s">
        <v>61</v>
      </c>
      <c r="C5" s="5"/>
      <c r="D5" s="5"/>
      <c r="E5" s="5" t="s">
        <v>44</v>
      </c>
      <c r="F5" s="5"/>
      <c r="G5" s="5"/>
      <c r="H5" s="5"/>
      <c r="I5" s="5"/>
      <c r="J5" s="5"/>
      <c r="K5" s="5" t="s">
        <v>2294</v>
      </c>
      <c r="L5" s="5"/>
    </row>
    <row r="6" customFormat="false" ht="15" hidden="false" customHeight="true" outlineLevel="0" collapsed="false">
      <c r="A6" s="5" t="s">
        <v>67</v>
      </c>
      <c r="B6" s="5" t="s">
        <v>68</v>
      </c>
      <c r="C6" s="5"/>
      <c r="D6" s="5"/>
      <c r="E6" s="5" t="s">
        <v>44</v>
      </c>
      <c r="F6" s="5"/>
      <c r="G6" s="5"/>
      <c r="H6" s="5"/>
      <c r="I6" s="5"/>
      <c r="J6" s="5"/>
      <c r="K6" s="5" t="s">
        <v>2294</v>
      </c>
      <c r="L6" s="5"/>
    </row>
    <row r="7" customFormat="false" ht="15" hidden="false" customHeight="true" outlineLevel="0" collapsed="false">
      <c r="A7" s="5" t="s">
        <v>73</v>
      </c>
      <c r="B7" s="5" t="s">
        <v>74</v>
      </c>
      <c r="C7" s="5"/>
      <c r="D7" s="5"/>
      <c r="E7" s="5" t="s">
        <v>44</v>
      </c>
      <c r="F7" s="5"/>
      <c r="G7" s="5"/>
      <c r="H7" s="5"/>
      <c r="I7" s="5"/>
      <c r="J7" s="5"/>
      <c r="K7" s="5" t="s">
        <v>2294</v>
      </c>
      <c r="L7" s="5"/>
    </row>
    <row r="8" customFormat="false" ht="15" hidden="false" customHeight="true" outlineLevel="0" collapsed="false">
      <c r="A8" s="5" t="s">
        <v>78</v>
      </c>
      <c r="B8" s="5" t="s">
        <v>79</v>
      </c>
      <c r="C8" s="5"/>
      <c r="D8" s="5"/>
      <c r="E8" s="5" t="s">
        <v>44</v>
      </c>
      <c r="F8" s="5"/>
      <c r="G8" s="5"/>
      <c r="H8" s="5"/>
      <c r="I8" s="5"/>
      <c r="J8" s="5"/>
      <c r="K8" s="5" t="s">
        <v>2294</v>
      </c>
      <c r="L8" s="5"/>
    </row>
    <row r="9" customFormat="false" ht="15" hidden="false" customHeight="true" outlineLevel="0" collapsed="false">
      <c r="A9" s="5" t="s">
        <v>83</v>
      </c>
      <c r="B9" s="5" t="s">
        <v>84</v>
      </c>
      <c r="C9" s="5"/>
      <c r="D9" s="5"/>
      <c r="E9" s="5" t="s">
        <v>44</v>
      </c>
      <c r="F9" s="5"/>
      <c r="G9" s="5"/>
      <c r="H9" s="5"/>
      <c r="I9" s="5"/>
      <c r="J9" s="5"/>
      <c r="K9" s="5" t="s">
        <v>2294</v>
      </c>
      <c r="L9" s="5"/>
    </row>
    <row r="10" customFormat="false" ht="15" hidden="false" customHeight="true" outlineLevel="0" collapsed="false">
      <c r="A10" s="5" t="s">
        <v>87</v>
      </c>
      <c r="B10" s="5" t="s">
        <v>88</v>
      </c>
      <c r="C10" s="5"/>
      <c r="D10" s="5"/>
      <c r="E10" s="5" t="s">
        <v>44</v>
      </c>
      <c r="F10" s="5"/>
      <c r="G10" s="5"/>
      <c r="H10" s="5"/>
      <c r="I10" s="5"/>
      <c r="J10" s="5"/>
      <c r="K10" s="5" t="s">
        <v>2294</v>
      </c>
      <c r="L10" s="5"/>
    </row>
    <row r="11" customFormat="false" ht="15" hidden="false" customHeight="true" outlineLevel="0" collapsed="false">
      <c r="A11" s="5" t="s">
        <v>92</v>
      </c>
      <c r="B11" s="5" t="s">
        <v>93</v>
      </c>
      <c r="C11" s="5"/>
      <c r="D11" s="5"/>
      <c r="E11" s="5" t="s">
        <v>42</v>
      </c>
      <c r="F11" s="5"/>
      <c r="G11" s="5"/>
      <c r="H11" s="5"/>
      <c r="I11" s="5"/>
      <c r="J11" s="5"/>
      <c r="K11" s="5" t="s">
        <v>2294</v>
      </c>
      <c r="L11" s="5"/>
    </row>
    <row r="12" customFormat="false" ht="15" hidden="false" customHeight="true" outlineLevel="0" collapsed="false">
      <c r="A12" s="5" t="s">
        <v>99</v>
      </c>
      <c r="B12" s="5" t="s">
        <v>100</v>
      </c>
      <c r="C12" s="5"/>
      <c r="D12" s="5"/>
      <c r="E12" s="5" t="s">
        <v>44</v>
      </c>
      <c r="F12" s="5"/>
      <c r="G12" s="5"/>
      <c r="H12" s="5"/>
      <c r="I12" s="5"/>
      <c r="J12" s="5"/>
      <c r="K12" s="5" t="s">
        <v>2294</v>
      </c>
      <c r="L12" s="5"/>
    </row>
    <row r="13" customFormat="false" ht="15" hidden="false" customHeight="true" outlineLevel="0" collapsed="false">
      <c r="A13" s="5" t="s">
        <v>104</v>
      </c>
      <c r="B13" s="5" t="s">
        <v>105</v>
      </c>
      <c r="C13" s="5"/>
      <c r="D13" s="5"/>
      <c r="E13" s="5" t="s">
        <v>44</v>
      </c>
      <c r="F13" s="5"/>
      <c r="G13" s="5"/>
      <c r="H13" s="5"/>
      <c r="I13" s="5"/>
      <c r="J13" s="5"/>
      <c r="K13" s="5" t="s">
        <v>2294</v>
      </c>
      <c r="L13" s="5"/>
    </row>
    <row r="14" customFormat="false" ht="23.25" hidden="false" customHeight="true" outlineLevel="0" collapsed="false">
      <c r="A14" s="5" t="s">
        <v>109</v>
      </c>
      <c r="B14" s="5" t="s">
        <v>110</v>
      </c>
      <c r="C14" s="5"/>
      <c r="D14" s="5"/>
      <c r="E14" s="5" t="s">
        <v>44</v>
      </c>
      <c r="F14" s="5"/>
      <c r="G14" s="5"/>
      <c r="H14" s="5"/>
      <c r="I14" s="5"/>
      <c r="J14" s="5"/>
      <c r="K14" s="5" t="s">
        <v>2294</v>
      </c>
      <c r="L14" s="5"/>
    </row>
    <row r="15" customFormat="false" ht="15" hidden="false" customHeight="true" outlineLevel="0" collapsed="false">
      <c r="A15" s="5" t="s">
        <v>114</v>
      </c>
      <c r="B15" s="5" t="s">
        <v>115</v>
      </c>
      <c r="C15" s="5"/>
      <c r="D15" s="5"/>
      <c r="E15" s="5" t="s">
        <v>44</v>
      </c>
      <c r="F15" s="5"/>
      <c r="G15" s="5"/>
      <c r="H15" s="5"/>
      <c r="I15" s="5"/>
      <c r="J15" s="5"/>
      <c r="K15" s="5" t="s">
        <v>2294</v>
      </c>
      <c r="L15" s="5"/>
    </row>
    <row r="16" customFormat="false" ht="15" hidden="false" customHeight="true" outlineLevel="0" collapsed="false">
      <c r="A16" s="5" t="s">
        <v>118</v>
      </c>
      <c r="B16" s="5" t="s">
        <v>119</v>
      </c>
      <c r="C16" s="5"/>
      <c r="D16" s="5"/>
      <c r="E16" s="5" t="s">
        <v>44</v>
      </c>
      <c r="F16" s="5"/>
      <c r="G16" s="5"/>
      <c r="H16" s="5"/>
      <c r="I16" s="5"/>
      <c r="J16" s="5"/>
      <c r="K16" s="5" t="s">
        <v>2294</v>
      </c>
      <c r="L16" s="5"/>
    </row>
    <row r="17" customFormat="false" ht="15" hidden="false" customHeight="true" outlineLevel="0" collapsed="false">
      <c r="A17" s="5" t="s">
        <v>123</v>
      </c>
      <c r="B17" s="5" t="s">
        <v>124</v>
      </c>
      <c r="C17" s="5"/>
      <c r="D17" s="5"/>
      <c r="E17" s="5" t="s">
        <v>44</v>
      </c>
      <c r="F17" s="5"/>
      <c r="G17" s="5"/>
      <c r="H17" s="5"/>
      <c r="I17" s="5"/>
      <c r="J17" s="5"/>
      <c r="K17" s="5" t="s">
        <v>2294</v>
      </c>
      <c r="L17" s="5"/>
    </row>
    <row r="18" customFormat="false" ht="15" hidden="false" customHeight="true" outlineLevel="0" collapsed="false">
      <c r="A18" s="5" t="s">
        <v>128</v>
      </c>
      <c r="B18" s="5" t="s">
        <v>129</v>
      </c>
      <c r="C18" s="5"/>
      <c r="D18" s="5"/>
      <c r="E18" s="5" t="s">
        <v>44</v>
      </c>
      <c r="F18" s="5"/>
      <c r="G18" s="5"/>
      <c r="H18" s="5"/>
      <c r="I18" s="5"/>
      <c r="J18" s="5"/>
      <c r="K18" s="5" t="s">
        <v>2294</v>
      </c>
      <c r="L18" s="5"/>
    </row>
    <row r="19" customFormat="false" ht="15" hidden="false" customHeight="true" outlineLevel="0" collapsed="false">
      <c r="A19" s="5" t="s">
        <v>133</v>
      </c>
      <c r="B19" s="5" t="s">
        <v>134</v>
      </c>
      <c r="C19" s="5"/>
      <c r="D19" s="5"/>
      <c r="E19" s="5" t="s">
        <v>44</v>
      </c>
      <c r="F19" s="5"/>
      <c r="G19" s="5"/>
      <c r="H19" s="5"/>
      <c r="I19" s="5"/>
      <c r="J19" s="5"/>
      <c r="K19" s="5" t="s">
        <v>2294</v>
      </c>
      <c r="L19" s="5"/>
    </row>
    <row r="20" customFormat="false" ht="15" hidden="false" customHeight="true" outlineLevel="0" collapsed="false">
      <c r="A20" s="5" t="s">
        <v>138</v>
      </c>
      <c r="B20" s="5" t="s">
        <v>139</v>
      </c>
      <c r="C20" s="5"/>
      <c r="D20" s="5"/>
      <c r="E20" s="5" t="s">
        <v>44</v>
      </c>
      <c r="F20" s="5"/>
      <c r="G20" s="5"/>
      <c r="H20" s="5"/>
      <c r="I20" s="5"/>
      <c r="J20" s="5"/>
      <c r="K20" s="5" t="s">
        <v>2294</v>
      </c>
      <c r="L20" s="5"/>
    </row>
    <row r="21" customFormat="false" ht="15" hidden="false" customHeight="true" outlineLevel="0" collapsed="false">
      <c r="A21" s="5" t="s">
        <v>143</v>
      </c>
      <c r="B21" s="5" t="s">
        <v>144</v>
      </c>
      <c r="C21" s="5"/>
      <c r="D21" s="5"/>
      <c r="E21" s="5" t="s">
        <v>44</v>
      </c>
      <c r="F21" s="5"/>
      <c r="G21" s="5"/>
      <c r="H21" s="5"/>
      <c r="I21" s="5"/>
      <c r="J21" s="5"/>
      <c r="K21" s="5" t="s">
        <v>2294</v>
      </c>
      <c r="L21" s="5"/>
    </row>
    <row r="22" customFormat="false" ht="15" hidden="false" customHeight="true" outlineLevel="0" collapsed="false">
      <c r="A22" s="5" t="s">
        <v>148</v>
      </c>
      <c r="B22" s="5" t="s">
        <v>149</v>
      </c>
      <c r="C22" s="5"/>
      <c r="D22" s="5"/>
      <c r="E22" s="5" t="s">
        <v>44</v>
      </c>
      <c r="F22" s="5"/>
      <c r="G22" s="5"/>
      <c r="H22" s="5"/>
      <c r="I22" s="5"/>
      <c r="J22" s="5"/>
      <c r="K22" s="5" t="s">
        <v>2294</v>
      </c>
      <c r="L22" s="5"/>
    </row>
    <row r="23" customFormat="false" ht="15" hidden="false" customHeight="true" outlineLevel="0" collapsed="false">
      <c r="A23" s="5" t="s">
        <v>153</v>
      </c>
      <c r="B23" s="5" t="s">
        <v>154</v>
      </c>
      <c r="C23" s="5"/>
      <c r="D23" s="5"/>
      <c r="E23" s="5" t="s">
        <v>44</v>
      </c>
      <c r="F23" s="5"/>
      <c r="G23" s="5"/>
      <c r="H23" s="5"/>
      <c r="I23" s="5"/>
      <c r="J23" s="5"/>
      <c r="K23" s="5" t="s">
        <v>2294</v>
      </c>
      <c r="L23" s="5"/>
    </row>
    <row r="24" customFormat="false" ht="15" hidden="false" customHeight="true" outlineLevel="0" collapsed="false">
      <c r="A24" s="5" t="s">
        <v>158</v>
      </c>
      <c r="B24" s="5" t="s">
        <v>159</v>
      </c>
      <c r="C24" s="5"/>
      <c r="D24" s="5"/>
      <c r="E24" s="5" t="s">
        <v>44</v>
      </c>
      <c r="F24" s="5"/>
      <c r="G24" s="5"/>
      <c r="H24" s="5"/>
      <c r="I24" s="5"/>
      <c r="J24" s="5"/>
      <c r="K24" s="5" t="s">
        <v>2294</v>
      </c>
      <c r="L24" s="5"/>
    </row>
    <row r="25" customFormat="false" ht="15" hidden="false" customHeight="true" outlineLevel="0" collapsed="false">
      <c r="A25" s="5" t="s">
        <v>163</v>
      </c>
      <c r="B25" s="5" t="s">
        <v>164</v>
      </c>
      <c r="C25" s="5"/>
      <c r="D25" s="5"/>
      <c r="E25" s="5" t="s">
        <v>44</v>
      </c>
      <c r="F25" s="5"/>
      <c r="G25" s="5"/>
      <c r="H25" s="5"/>
      <c r="I25" s="5"/>
      <c r="J25" s="5"/>
      <c r="K25" s="5" t="s">
        <v>2294</v>
      </c>
      <c r="L25" s="5"/>
    </row>
    <row r="26" customFormat="false" ht="15" hidden="false" customHeight="true" outlineLevel="0" collapsed="false">
      <c r="A26" s="5" t="s">
        <v>168</v>
      </c>
      <c r="B26" s="5" t="s">
        <v>169</v>
      </c>
      <c r="C26" s="5"/>
      <c r="D26" s="5"/>
      <c r="E26" s="5" t="s">
        <v>44</v>
      </c>
      <c r="F26" s="5"/>
      <c r="G26" s="5"/>
      <c r="H26" s="5"/>
      <c r="I26" s="5"/>
      <c r="J26" s="5"/>
      <c r="K26" s="5" t="s">
        <v>2294</v>
      </c>
      <c r="L26" s="5"/>
    </row>
    <row r="27" customFormat="false" ht="15" hidden="false" customHeight="true" outlineLevel="0" collapsed="false">
      <c r="A27" s="5" t="s">
        <v>173</v>
      </c>
      <c r="B27" s="5" t="s">
        <v>174</v>
      </c>
      <c r="C27" s="5"/>
      <c r="D27" s="5"/>
      <c r="E27" s="5" t="s">
        <v>44</v>
      </c>
      <c r="F27" s="5"/>
      <c r="G27" s="5"/>
      <c r="H27" s="5"/>
      <c r="I27" s="5"/>
      <c r="J27" s="5"/>
      <c r="K27" s="5" t="s">
        <v>2294</v>
      </c>
      <c r="L27" s="5"/>
    </row>
    <row r="28" customFormat="false" ht="15" hidden="false" customHeight="true" outlineLevel="0" collapsed="false">
      <c r="A28" s="5" t="s">
        <v>177</v>
      </c>
      <c r="B28" s="5" t="s">
        <v>178</v>
      </c>
      <c r="C28" s="5"/>
      <c r="D28" s="5"/>
      <c r="E28" s="5" t="s">
        <v>44</v>
      </c>
      <c r="F28" s="5"/>
      <c r="G28" s="5"/>
      <c r="H28" s="5"/>
      <c r="I28" s="5"/>
      <c r="J28" s="5"/>
      <c r="K28" s="5" t="s">
        <v>2294</v>
      </c>
      <c r="L28" s="5"/>
    </row>
    <row r="29" customFormat="false" ht="15" hidden="false" customHeight="true" outlineLevel="0" collapsed="false">
      <c r="A29" s="5" t="s">
        <v>182</v>
      </c>
      <c r="B29" s="5" t="s">
        <v>183</v>
      </c>
      <c r="C29" s="5"/>
      <c r="D29" s="5"/>
      <c r="E29" s="5" t="s">
        <v>44</v>
      </c>
      <c r="F29" s="5"/>
      <c r="G29" s="5"/>
      <c r="H29" s="5"/>
      <c r="I29" s="5"/>
      <c r="J29" s="5"/>
      <c r="K29" s="5" t="s">
        <v>2294</v>
      </c>
      <c r="L29" s="5"/>
    </row>
    <row r="30" customFormat="false" ht="23.25" hidden="false" customHeight="true" outlineLevel="0" collapsed="false">
      <c r="A30" s="5" t="s">
        <v>187</v>
      </c>
      <c r="B30" s="5" t="s">
        <v>188</v>
      </c>
      <c r="C30" s="5"/>
      <c r="D30" s="5"/>
      <c r="E30" s="5" t="s">
        <v>44</v>
      </c>
      <c r="F30" s="5"/>
      <c r="G30" s="5"/>
      <c r="H30" s="5"/>
      <c r="I30" s="5"/>
      <c r="J30" s="5"/>
      <c r="K30" s="5" t="s">
        <v>2294</v>
      </c>
      <c r="L30" s="5"/>
    </row>
    <row r="31" customFormat="false" ht="15" hidden="false" customHeight="true" outlineLevel="0" collapsed="false">
      <c r="A31" s="5" t="s">
        <v>192</v>
      </c>
      <c r="B31" s="5" t="s">
        <v>193</v>
      </c>
      <c r="C31" s="5"/>
      <c r="D31" s="5"/>
      <c r="E31" s="5" t="s">
        <v>44</v>
      </c>
      <c r="F31" s="5"/>
      <c r="G31" s="5"/>
      <c r="H31" s="5"/>
      <c r="I31" s="5"/>
      <c r="J31" s="5"/>
      <c r="K31" s="5" t="s">
        <v>2294</v>
      </c>
      <c r="L31" s="5"/>
    </row>
    <row r="32" customFormat="false" ht="23.25" hidden="false" customHeight="true" outlineLevel="0" collapsed="false">
      <c r="A32" s="5" t="s">
        <v>196</v>
      </c>
      <c r="B32" s="5" t="s">
        <v>197</v>
      </c>
      <c r="C32" s="5"/>
      <c r="D32" s="5"/>
      <c r="E32" s="5" t="s">
        <v>44</v>
      </c>
      <c r="F32" s="5"/>
      <c r="G32" s="5"/>
      <c r="H32" s="5"/>
      <c r="I32" s="5"/>
      <c r="J32" s="5"/>
      <c r="K32" s="5" t="s">
        <v>2294</v>
      </c>
      <c r="L32" s="5"/>
    </row>
    <row r="33" customFormat="false" ht="15" hidden="false" customHeight="true" outlineLevel="0" collapsed="false">
      <c r="A33" s="5" t="s">
        <v>201</v>
      </c>
      <c r="B33" s="5" t="s">
        <v>202</v>
      </c>
      <c r="C33" s="5"/>
      <c r="D33" s="5"/>
      <c r="E33" s="5" t="s">
        <v>44</v>
      </c>
      <c r="F33" s="5"/>
      <c r="G33" s="5"/>
      <c r="H33" s="5"/>
      <c r="I33" s="5"/>
      <c r="J33" s="5"/>
      <c r="K33" s="5" t="s">
        <v>2294</v>
      </c>
      <c r="L33" s="5"/>
    </row>
    <row r="34" customFormat="false" ht="23.25" hidden="false" customHeight="true" outlineLevel="0" collapsed="false">
      <c r="A34" s="5" t="s">
        <v>206</v>
      </c>
      <c r="B34" s="5" t="s">
        <v>207</v>
      </c>
      <c r="C34" s="5"/>
      <c r="D34" s="5"/>
      <c r="E34" s="5" t="s">
        <v>44</v>
      </c>
      <c r="F34" s="5"/>
      <c r="G34" s="5"/>
      <c r="H34" s="5"/>
      <c r="I34" s="5"/>
      <c r="J34" s="5"/>
      <c r="K34" s="5" t="s">
        <v>2294</v>
      </c>
      <c r="L34" s="5"/>
    </row>
    <row r="35" customFormat="false" ht="15" hidden="false" customHeight="true" outlineLevel="0" collapsed="false">
      <c r="A35" s="5" t="s">
        <v>210</v>
      </c>
      <c r="B35" s="5" t="s">
        <v>211</v>
      </c>
      <c r="C35" s="5"/>
      <c r="D35" s="5"/>
      <c r="E35" s="5" t="s">
        <v>44</v>
      </c>
      <c r="F35" s="5"/>
      <c r="G35" s="5"/>
      <c r="H35" s="5"/>
      <c r="I35" s="5"/>
      <c r="J35" s="5"/>
      <c r="K35" s="5" t="s">
        <v>2294</v>
      </c>
      <c r="L35" s="5"/>
    </row>
    <row r="36" customFormat="false" ht="23.25" hidden="false" customHeight="true" outlineLevel="0" collapsed="false">
      <c r="A36" s="5" t="s">
        <v>215</v>
      </c>
      <c r="B36" s="5" t="s">
        <v>216</v>
      </c>
      <c r="C36" s="5"/>
      <c r="D36" s="5"/>
      <c r="E36" s="5" t="s">
        <v>44</v>
      </c>
      <c r="F36" s="5"/>
      <c r="G36" s="5"/>
      <c r="H36" s="5"/>
      <c r="I36" s="5"/>
      <c r="J36" s="5"/>
      <c r="K36" s="5" t="s">
        <v>2294</v>
      </c>
      <c r="L36" s="5"/>
    </row>
    <row r="37" customFormat="false" ht="23.25" hidden="false" customHeight="true" outlineLevel="0" collapsed="false">
      <c r="A37" s="5" t="s">
        <v>220</v>
      </c>
      <c r="B37" s="5" t="s">
        <v>221</v>
      </c>
      <c r="C37" s="5"/>
      <c r="D37" s="5"/>
      <c r="E37" s="5" t="s">
        <v>44</v>
      </c>
      <c r="F37" s="5"/>
      <c r="G37" s="5"/>
      <c r="H37" s="5"/>
      <c r="I37" s="5"/>
      <c r="J37" s="5"/>
      <c r="K37" s="5" t="s">
        <v>2294</v>
      </c>
      <c r="L37" s="5"/>
    </row>
    <row r="38" customFormat="false" ht="15" hidden="false" customHeight="true" outlineLevel="0" collapsed="false">
      <c r="A38" s="5" t="s">
        <v>224</v>
      </c>
      <c r="B38" s="5" t="s">
        <v>225</v>
      </c>
      <c r="C38" s="5"/>
      <c r="D38" s="5"/>
      <c r="E38" s="5" t="s">
        <v>44</v>
      </c>
      <c r="F38" s="5"/>
      <c r="G38" s="5"/>
      <c r="H38" s="5"/>
      <c r="I38" s="5"/>
      <c r="J38" s="5"/>
      <c r="K38" s="5" t="s">
        <v>2294</v>
      </c>
      <c r="L38" s="5"/>
    </row>
    <row r="39" customFormat="false" ht="15" hidden="false" customHeight="true" outlineLevel="0" collapsed="false">
      <c r="A39" s="5" t="s">
        <v>228</v>
      </c>
      <c r="B39" s="5" t="s">
        <v>229</v>
      </c>
      <c r="C39" s="5"/>
      <c r="D39" s="5"/>
      <c r="E39" s="5" t="s">
        <v>44</v>
      </c>
      <c r="F39" s="5"/>
      <c r="G39" s="5"/>
      <c r="H39" s="5"/>
      <c r="I39" s="5"/>
      <c r="J39" s="5"/>
      <c r="K39" s="5" t="s">
        <v>2294</v>
      </c>
      <c r="L39" s="5"/>
    </row>
    <row r="40" customFormat="false" ht="15" hidden="false" customHeight="true" outlineLevel="0" collapsed="false">
      <c r="A40" s="5" t="s">
        <v>233</v>
      </c>
      <c r="B40" s="5" t="s">
        <v>234</v>
      </c>
      <c r="C40" s="5"/>
      <c r="D40" s="5"/>
      <c r="E40" s="5" t="s">
        <v>44</v>
      </c>
      <c r="F40" s="5"/>
      <c r="G40" s="5"/>
      <c r="H40" s="5"/>
      <c r="I40" s="5"/>
      <c r="J40" s="5"/>
      <c r="K40" s="5" t="s">
        <v>2294</v>
      </c>
      <c r="L40" s="5"/>
    </row>
    <row r="41" customFormat="false" ht="15" hidden="false" customHeight="true" outlineLevel="0" collapsed="false">
      <c r="A41" s="5" t="s">
        <v>238</v>
      </c>
      <c r="B41" s="5" t="s">
        <v>239</v>
      </c>
      <c r="C41" s="5"/>
      <c r="D41" s="5"/>
      <c r="E41" s="5" t="s">
        <v>44</v>
      </c>
      <c r="F41" s="5"/>
      <c r="G41" s="5"/>
      <c r="H41" s="5"/>
      <c r="I41" s="5"/>
      <c r="J41" s="5"/>
      <c r="K41" s="5" t="s">
        <v>2294</v>
      </c>
      <c r="L41" s="5"/>
    </row>
    <row r="42" customFormat="false" ht="15" hidden="false" customHeight="true" outlineLevel="0" collapsed="false">
      <c r="A42" s="5" t="s">
        <v>243</v>
      </c>
      <c r="B42" s="5" t="s">
        <v>244</v>
      </c>
      <c r="C42" s="5"/>
      <c r="D42" s="5"/>
      <c r="E42" s="5" t="s">
        <v>44</v>
      </c>
      <c r="F42" s="5"/>
      <c r="G42" s="5"/>
      <c r="H42" s="5"/>
      <c r="I42" s="5"/>
      <c r="J42" s="5"/>
      <c r="K42" s="5" t="s">
        <v>2294</v>
      </c>
      <c r="L42" s="5"/>
    </row>
    <row r="43" customFormat="false" ht="15" hidden="false" customHeight="true" outlineLevel="0" collapsed="false">
      <c r="A43" s="5" t="s">
        <v>248</v>
      </c>
      <c r="B43" s="5" t="s">
        <v>249</v>
      </c>
      <c r="C43" s="5"/>
      <c r="D43" s="5"/>
      <c r="E43" s="5" t="s">
        <v>44</v>
      </c>
      <c r="F43" s="5"/>
      <c r="G43" s="5"/>
      <c r="H43" s="5"/>
      <c r="I43" s="5"/>
      <c r="J43" s="5"/>
      <c r="K43" s="5" t="s">
        <v>2294</v>
      </c>
      <c r="L43" s="5"/>
    </row>
    <row r="44" customFormat="false" ht="15" hidden="false" customHeight="true" outlineLevel="0" collapsed="false">
      <c r="A44" s="5" t="s">
        <v>252</v>
      </c>
      <c r="B44" s="5" t="s">
        <v>253</v>
      </c>
      <c r="C44" s="5"/>
      <c r="D44" s="5"/>
      <c r="E44" s="5" t="s">
        <v>44</v>
      </c>
      <c r="F44" s="5"/>
      <c r="G44" s="5"/>
      <c r="H44" s="5"/>
      <c r="I44" s="5"/>
      <c r="J44" s="5"/>
      <c r="K44" s="5" t="s">
        <v>2294</v>
      </c>
      <c r="L44" s="5"/>
    </row>
    <row r="45" customFormat="false" ht="15" hidden="false" customHeight="true" outlineLevel="0" collapsed="false">
      <c r="A45" s="5" t="s">
        <v>256</v>
      </c>
      <c r="B45" s="5" t="s">
        <v>257</v>
      </c>
      <c r="C45" s="5"/>
      <c r="D45" s="5"/>
      <c r="E45" s="5" t="s">
        <v>44</v>
      </c>
      <c r="F45" s="5"/>
      <c r="G45" s="5"/>
      <c r="H45" s="5"/>
      <c r="I45" s="5"/>
      <c r="J45" s="5"/>
      <c r="K45" s="5" t="s">
        <v>2294</v>
      </c>
      <c r="L45" s="5"/>
    </row>
    <row r="46" customFormat="false" ht="23.25" hidden="false" customHeight="true" outlineLevel="0" collapsed="false">
      <c r="A46" s="5" t="s">
        <v>260</v>
      </c>
      <c r="B46" s="5" t="s">
        <v>261</v>
      </c>
      <c r="C46" s="5"/>
      <c r="D46" s="5"/>
      <c r="E46" s="5" t="s">
        <v>44</v>
      </c>
      <c r="F46" s="5"/>
      <c r="G46" s="5"/>
      <c r="H46" s="5"/>
      <c r="I46" s="5"/>
      <c r="J46" s="5"/>
      <c r="K46" s="5" t="s">
        <v>2294</v>
      </c>
      <c r="L46" s="5"/>
    </row>
    <row r="47" customFormat="false" ht="15" hidden="false" customHeight="true" outlineLevel="0" collapsed="false">
      <c r="A47" s="5" t="s">
        <v>264</v>
      </c>
      <c r="B47" s="5" t="s">
        <v>265</v>
      </c>
      <c r="C47" s="5"/>
      <c r="D47" s="5"/>
      <c r="E47" s="5" t="s">
        <v>44</v>
      </c>
      <c r="F47" s="5"/>
      <c r="G47" s="5"/>
      <c r="H47" s="5"/>
      <c r="I47" s="5"/>
      <c r="J47" s="5"/>
      <c r="K47" s="5" t="s">
        <v>2294</v>
      </c>
      <c r="L47" s="5"/>
    </row>
    <row r="48" customFormat="false" ht="15" hidden="false" customHeight="true" outlineLevel="0" collapsed="false">
      <c r="A48" s="5" t="s">
        <v>269</v>
      </c>
      <c r="B48" s="5" t="s">
        <v>270</v>
      </c>
      <c r="C48" s="5"/>
      <c r="D48" s="5"/>
      <c r="E48" s="5" t="s">
        <v>44</v>
      </c>
      <c r="F48" s="5"/>
      <c r="G48" s="5"/>
      <c r="H48" s="5"/>
      <c r="I48" s="5"/>
      <c r="J48" s="5"/>
      <c r="K48" s="5" t="s">
        <v>2294</v>
      </c>
      <c r="L48" s="5"/>
    </row>
    <row r="49" customFormat="false" ht="34.5" hidden="false" customHeight="true" outlineLevel="0" collapsed="false">
      <c r="A49" s="5" t="s">
        <v>274</v>
      </c>
      <c r="B49" s="5" t="s">
        <v>276</v>
      </c>
      <c r="C49" s="5"/>
      <c r="D49" s="5"/>
      <c r="E49" s="5" t="s">
        <v>44</v>
      </c>
      <c r="F49" s="5"/>
      <c r="G49" s="5"/>
      <c r="H49" s="5"/>
      <c r="I49" s="5"/>
      <c r="J49" s="5"/>
      <c r="K49" s="5" t="s">
        <v>2294</v>
      </c>
      <c r="L49" s="5"/>
    </row>
    <row r="50" customFormat="false" ht="15" hidden="false" customHeight="true" outlineLevel="0" collapsed="false">
      <c r="A50" s="5" t="s">
        <v>279</v>
      </c>
      <c r="B50" s="5" t="s">
        <v>280</v>
      </c>
      <c r="C50" s="5"/>
      <c r="D50" s="5"/>
      <c r="E50" s="5" t="s">
        <v>44</v>
      </c>
      <c r="F50" s="5"/>
      <c r="G50" s="5"/>
      <c r="H50" s="5"/>
      <c r="I50" s="5"/>
      <c r="J50" s="5"/>
      <c r="K50" s="5" t="s">
        <v>2294</v>
      </c>
      <c r="L50" s="5"/>
    </row>
    <row r="51" customFormat="false" ht="23.25" hidden="false" customHeight="true" outlineLevel="0" collapsed="false">
      <c r="A51" s="5" t="s">
        <v>284</v>
      </c>
      <c r="B51" s="5" t="s">
        <v>285</v>
      </c>
      <c r="C51" s="5"/>
      <c r="D51" s="5"/>
      <c r="E51" s="5" t="s">
        <v>44</v>
      </c>
      <c r="F51" s="5"/>
      <c r="G51" s="5"/>
      <c r="H51" s="5"/>
      <c r="I51" s="5"/>
      <c r="J51" s="5"/>
      <c r="K51" s="5" t="s">
        <v>2294</v>
      </c>
      <c r="L51" s="5"/>
    </row>
    <row r="52" customFormat="false" ht="15" hidden="false" customHeight="true" outlineLevel="0" collapsed="false">
      <c r="A52" s="5" t="s">
        <v>289</v>
      </c>
      <c r="B52" s="5" t="s">
        <v>290</v>
      </c>
      <c r="C52" s="5"/>
      <c r="D52" s="5"/>
      <c r="E52" s="5" t="s">
        <v>44</v>
      </c>
      <c r="F52" s="5"/>
      <c r="G52" s="5"/>
      <c r="H52" s="5"/>
      <c r="I52" s="5"/>
      <c r="J52" s="5"/>
      <c r="K52" s="5" t="s">
        <v>2294</v>
      </c>
      <c r="L52" s="5"/>
    </row>
    <row r="53" customFormat="false" ht="15" hidden="false" customHeight="true" outlineLevel="0" collapsed="false">
      <c r="A53" s="5" t="s">
        <v>294</v>
      </c>
      <c r="B53" s="5" t="s">
        <v>295</v>
      </c>
      <c r="C53" s="5"/>
      <c r="D53" s="5"/>
      <c r="E53" s="5" t="s">
        <v>44</v>
      </c>
      <c r="F53" s="5"/>
      <c r="G53" s="5"/>
      <c r="H53" s="5"/>
      <c r="I53" s="5"/>
      <c r="J53" s="5"/>
      <c r="K53" s="5" t="s">
        <v>2294</v>
      </c>
      <c r="L53" s="5"/>
    </row>
    <row r="54" customFormat="false" ht="23.25" hidden="false" customHeight="true" outlineLevel="0" collapsed="false">
      <c r="A54" s="5" t="s">
        <v>299</v>
      </c>
      <c r="B54" s="5" t="s">
        <v>301</v>
      </c>
      <c r="C54" s="5"/>
      <c r="D54" s="5"/>
      <c r="E54" s="5" t="s">
        <v>44</v>
      </c>
      <c r="F54" s="5"/>
      <c r="G54" s="5"/>
      <c r="H54" s="5"/>
      <c r="I54" s="5"/>
      <c r="J54" s="5"/>
      <c r="K54" s="5" t="s">
        <v>2294</v>
      </c>
      <c r="L54" s="5"/>
    </row>
    <row r="55" customFormat="false" ht="23.25" hidden="false" customHeight="true" outlineLevel="0" collapsed="false">
      <c r="A55" s="5" t="s">
        <v>304</v>
      </c>
      <c r="B55" s="5" t="s">
        <v>305</v>
      </c>
      <c r="C55" s="5"/>
      <c r="D55" s="5"/>
      <c r="E55" s="5" t="s">
        <v>44</v>
      </c>
      <c r="F55" s="5"/>
      <c r="G55" s="5"/>
      <c r="H55" s="5"/>
      <c r="I55" s="5"/>
      <c r="J55" s="5"/>
      <c r="K55" s="5" t="s">
        <v>2294</v>
      </c>
      <c r="L55" s="5"/>
    </row>
    <row r="56" customFormat="false" ht="15" hidden="false" customHeight="true" outlineLevel="0" collapsed="false">
      <c r="A56" s="5" t="s">
        <v>308</v>
      </c>
      <c r="B56" s="5" t="s">
        <v>309</v>
      </c>
      <c r="C56" s="5"/>
      <c r="D56" s="5"/>
      <c r="E56" s="5" t="s">
        <v>44</v>
      </c>
      <c r="F56" s="5"/>
      <c r="G56" s="5"/>
      <c r="H56" s="5"/>
      <c r="I56" s="5"/>
      <c r="J56" s="5"/>
      <c r="K56" s="5" t="s">
        <v>2294</v>
      </c>
      <c r="L56" s="5"/>
    </row>
    <row r="57" customFormat="false" ht="15" hidden="false" customHeight="true" outlineLevel="0" collapsed="false">
      <c r="A57" s="5" t="s">
        <v>313</v>
      </c>
      <c r="B57" s="5" t="s">
        <v>314</v>
      </c>
      <c r="C57" s="5"/>
      <c r="D57" s="5"/>
      <c r="E57" s="5" t="s">
        <v>44</v>
      </c>
      <c r="F57" s="5"/>
      <c r="G57" s="5"/>
      <c r="H57" s="5"/>
      <c r="I57" s="5"/>
      <c r="J57" s="5"/>
      <c r="K57" s="5" t="s">
        <v>2294</v>
      </c>
      <c r="L57" s="5"/>
    </row>
    <row r="58" customFormat="false" ht="23.25" hidden="false" customHeight="true" outlineLevel="0" collapsed="false">
      <c r="A58" s="5" t="s">
        <v>317</v>
      </c>
      <c r="B58" s="5" t="s">
        <v>318</v>
      </c>
      <c r="C58" s="5"/>
      <c r="D58" s="5"/>
      <c r="E58" s="5" t="s">
        <v>42</v>
      </c>
      <c r="F58" s="5"/>
      <c r="G58" s="5"/>
      <c r="H58" s="5"/>
      <c r="I58" s="5"/>
      <c r="J58" s="5"/>
      <c r="K58" s="5" t="s">
        <v>2294</v>
      </c>
      <c r="L58" s="5"/>
    </row>
    <row r="59" customFormat="false" ht="23.25" hidden="false" customHeight="true" outlineLevel="0" collapsed="false">
      <c r="A59" s="5" t="s">
        <v>321</v>
      </c>
      <c r="B59" s="5" t="s">
        <v>322</v>
      </c>
      <c r="C59" s="5"/>
      <c r="D59" s="5"/>
      <c r="E59" s="5" t="s">
        <v>44</v>
      </c>
      <c r="F59" s="5"/>
      <c r="G59" s="5"/>
      <c r="H59" s="5"/>
      <c r="I59" s="5"/>
      <c r="J59" s="5"/>
      <c r="K59" s="5" t="s">
        <v>2294</v>
      </c>
      <c r="L59" s="5"/>
    </row>
    <row r="60" customFormat="false" ht="15" hidden="false" customHeight="true" outlineLevel="0" collapsed="false">
      <c r="A60" s="5" t="s">
        <v>326</v>
      </c>
      <c r="B60" s="5" t="s">
        <v>327</v>
      </c>
      <c r="C60" s="5"/>
      <c r="D60" s="5"/>
      <c r="E60" s="5" t="s">
        <v>44</v>
      </c>
      <c r="F60" s="5"/>
      <c r="G60" s="5"/>
      <c r="H60" s="5"/>
      <c r="I60" s="5"/>
      <c r="J60" s="5"/>
      <c r="K60" s="5" t="s">
        <v>2294</v>
      </c>
      <c r="L60" s="5"/>
    </row>
    <row r="61" customFormat="false" ht="15" hidden="false" customHeight="true" outlineLevel="0" collapsed="false">
      <c r="A61" s="5" t="s">
        <v>332</v>
      </c>
      <c r="B61" s="5" t="s">
        <v>333</v>
      </c>
      <c r="C61" s="5"/>
      <c r="D61" s="5"/>
      <c r="E61" s="5" t="s">
        <v>44</v>
      </c>
      <c r="F61" s="5"/>
      <c r="G61" s="5"/>
      <c r="H61" s="5"/>
      <c r="I61" s="5"/>
      <c r="J61" s="5"/>
      <c r="K61" s="5" t="s">
        <v>2294</v>
      </c>
      <c r="L61" s="5"/>
    </row>
    <row r="62" customFormat="false" ht="15" hidden="false" customHeight="true" outlineLevel="0" collapsed="false">
      <c r="A62" s="5" t="s">
        <v>336</v>
      </c>
      <c r="B62" s="5" t="s">
        <v>337</v>
      </c>
      <c r="C62" s="5"/>
      <c r="D62" s="5"/>
      <c r="E62" s="5" t="s">
        <v>44</v>
      </c>
      <c r="F62" s="5"/>
      <c r="G62" s="5"/>
      <c r="H62" s="5"/>
      <c r="I62" s="5"/>
      <c r="J62" s="5"/>
      <c r="K62" s="5" t="s">
        <v>2294</v>
      </c>
      <c r="L62" s="5"/>
    </row>
    <row r="63" customFormat="false" ht="23.25" hidden="false" customHeight="true" outlineLevel="0" collapsed="false">
      <c r="A63" s="5" t="s">
        <v>340</v>
      </c>
      <c r="B63" s="5" t="s">
        <v>341</v>
      </c>
      <c r="C63" s="5"/>
      <c r="D63" s="5"/>
      <c r="E63" s="5" t="s">
        <v>44</v>
      </c>
      <c r="F63" s="5"/>
      <c r="G63" s="5"/>
      <c r="H63" s="5"/>
      <c r="I63" s="5"/>
      <c r="J63" s="5"/>
      <c r="K63" s="5" t="s">
        <v>2294</v>
      </c>
      <c r="L63" s="5"/>
    </row>
    <row r="64" customFormat="false" ht="15" hidden="false" customHeight="true" outlineLevel="0" collapsed="false">
      <c r="A64" s="5" t="s">
        <v>345</v>
      </c>
      <c r="B64" s="5" t="s">
        <v>346</v>
      </c>
      <c r="C64" s="5"/>
      <c r="D64" s="5"/>
      <c r="E64" s="5" t="s">
        <v>44</v>
      </c>
      <c r="F64" s="5"/>
      <c r="G64" s="5"/>
      <c r="H64" s="5"/>
      <c r="I64" s="5"/>
      <c r="J64" s="5"/>
      <c r="K64" s="5" t="s">
        <v>2294</v>
      </c>
      <c r="L64" s="5"/>
    </row>
    <row r="65" customFormat="false" ht="15" hidden="false" customHeight="true" outlineLevel="0" collapsed="false">
      <c r="A65" s="5" t="s">
        <v>349</v>
      </c>
      <c r="B65" s="5" t="s">
        <v>350</v>
      </c>
      <c r="C65" s="5"/>
      <c r="D65" s="5"/>
      <c r="E65" s="5" t="s">
        <v>44</v>
      </c>
      <c r="F65" s="5"/>
      <c r="G65" s="5"/>
      <c r="H65" s="5"/>
      <c r="I65" s="5"/>
      <c r="J65" s="5"/>
      <c r="K65" s="5" t="s">
        <v>2294</v>
      </c>
      <c r="L65" s="5"/>
    </row>
    <row r="66" customFormat="false" ht="23.25" hidden="false" customHeight="true" outlineLevel="0" collapsed="false">
      <c r="A66" s="5" t="s">
        <v>353</v>
      </c>
      <c r="B66" s="5" t="s">
        <v>354</v>
      </c>
      <c r="C66" s="5"/>
      <c r="D66" s="5"/>
      <c r="E66" s="5" t="s">
        <v>44</v>
      </c>
      <c r="F66" s="5"/>
      <c r="G66" s="5"/>
      <c r="H66" s="5"/>
      <c r="I66" s="5"/>
      <c r="J66" s="5"/>
      <c r="K66" s="5" t="s">
        <v>2294</v>
      </c>
      <c r="L66" s="5"/>
    </row>
    <row r="67" customFormat="false" ht="23.25" hidden="false" customHeight="true" outlineLevel="0" collapsed="false">
      <c r="A67" s="5" t="s">
        <v>358</v>
      </c>
      <c r="B67" s="5" t="s">
        <v>359</v>
      </c>
      <c r="C67" s="5"/>
      <c r="D67" s="5"/>
      <c r="E67" s="5" t="s">
        <v>44</v>
      </c>
      <c r="F67" s="5"/>
      <c r="G67" s="5"/>
      <c r="H67" s="5"/>
      <c r="I67" s="5"/>
      <c r="J67" s="5"/>
      <c r="K67" s="5" t="s">
        <v>2294</v>
      </c>
      <c r="L67" s="5"/>
    </row>
    <row r="68" customFormat="false" ht="15" hidden="false" customHeight="true" outlineLevel="0" collapsed="false">
      <c r="A68" s="5" t="s">
        <v>362</v>
      </c>
      <c r="B68" s="5" t="s">
        <v>363</v>
      </c>
      <c r="C68" s="5"/>
      <c r="D68" s="5"/>
      <c r="E68" s="5" t="s">
        <v>44</v>
      </c>
      <c r="F68" s="5"/>
      <c r="G68" s="5"/>
      <c r="H68" s="5"/>
      <c r="I68" s="5"/>
      <c r="J68" s="5"/>
      <c r="K68" s="5" t="s">
        <v>2294</v>
      </c>
      <c r="L68" s="5"/>
    </row>
    <row r="69" customFormat="false" ht="15" hidden="false" customHeight="true" outlineLevel="0" collapsed="false">
      <c r="A69" s="5" t="s">
        <v>366</v>
      </c>
      <c r="B69" s="5" t="s">
        <v>367</v>
      </c>
      <c r="C69" s="5"/>
      <c r="D69" s="5"/>
      <c r="E69" s="5" t="s">
        <v>44</v>
      </c>
      <c r="F69" s="5"/>
      <c r="G69" s="5"/>
      <c r="H69" s="5"/>
      <c r="I69" s="5"/>
      <c r="J69" s="5"/>
      <c r="K69" s="5" t="s">
        <v>2294</v>
      </c>
      <c r="L69" s="5"/>
    </row>
    <row r="70" customFormat="false" ht="23.25" hidden="false" customHeight="true" outlineLevel="0" collapsed="false">
      <c r="A70" s="5" t="s">
        <v>371</v>
      </c>
      <c r="B70" s="5" t="s">
        <v>372</v>
      </c>
      <c r="C70" s="5"/>
      <c r="D70" s="5"/>
      <c r="E70" s="5" t="s">
        <v>44</v>
      </c>
      <c r="F70" s="5"/>
      <c r="G70" s="5"/>
      <c r="H70" s="5"/>
      <c r="I70" s="5"/>
      <c r="J70" s="5"/>
      <c r="K70" s="5" t="s">
        <v>2294</v>
      </c>
      <c r="L70" s="5"/>
    </row>
    <row r="71" customFormat="false" ht="23.25" hidden="false" customHeight="true" outlineLevel="0" collapsed="false">
      <c r="A71" s="5" t="s">
        <v>376</v>
      </c>
      <c r="B71" s="5" t="s">
        <v>377</v>
      </c>
      <c r="C71" s="5"/>
      <c r="D71" s="5"/>
      <c r="E71" s="5" t="s">
        <v>44</v>
      </c>
      <c r="F71" s="5"/>
      <c r="G71" s="5"/>
      <c r="H71" s="5"/>
      <c r="I71" s="5"/>
      <c r="J71" s="5"/>
      <c r="K71" s="5" t="s">
        <v>2294</v>
      </c>
      <c r="L71" s="5"/>
    </row>
    <row r="72" customFormat="false" ht="15" hidden="false" customHeight="true" outlineLevel="0" collapsed="false">
      <c r="A72" s="5" t="s">
        <v>381</v>
      </c>
      <c r="B72" s="5" t="s">
        <v>382</v>
      </c>
      <c r="C72" s="5"/>
      <c r="D72" s="5"/>
      <c r="E72" s="5" t="s">
        <v>42</v>
      </c>
      <c r="F72" s="5"/>
      <c r="G72" s="5"/>
      <c r="H72" s="5"/>
      <c r="I72" s="5"/>
      <c r="J72" s="5"/>
      <c r="K72" s="5" t="s">
        <v>2294</v>
      </c>
      <c r="L72" s="5"/>
    </row>
    <row r="73" customFormat="false" ht="15" hidden="false" customHeight="true" outlineLevel="0" collapsed="false">
      <c r="A73" s="5" t="s">
        <v>387</v>
      </c>
      <c r="B73" s="5" t="s">
        <v>388</v>
      </c>
      <c r="C73" s="5"/>
      <c r="D73" s="5"/>
      <c r="E73" s="5" t="s">
        <v>44</v>
      </c>
      <c r="F73" s="5"/>
      <c r="G73" s="5"/>
      <c r="H73" s="5"/>
      <c r="I73" s="5"/>
      <c r="J73" s="5"/>
      <c r="K73" s="5" t="s">
        <v>2294</v>
      </c>
      <c r="L73" s="5"/>
    </row>
    <row r="74" customFormat="false" ht="23.25" hidden="false" customHeight="true" outlineLevel="0" collapsed="false">
      <c r="A74" s="5" t="s">
        <v>392</v>
      </c>
      <c r="B74" s="5" t="s">
        <v>393</v>
      </c>
      <c r="C74" s="5"/>
      <c r="D74" s="5"/>
      <c r="E74" s="5" t="s">
        <v>42</v>
      </c>
      <c r="F74" s="5"/>
      <c r="G74" s="5"/>
      <c r="H74" s="5"/>
      <c r="I74" s="5"/>
      <c r="J74" s="5"/>
      <c r="K74" s="5" t="s">
        <v>2294</v>
      </c>
      <c r="L74" s="5"/>
    </row>
    <row r="75" customFormat="false" ht="23.25" hidden="false" customHeight="true" outlineLevel="0" collapsed="false">
      <c r="A75" s="5" t="s">
        <v>397</v>
      </c>
      <c r="B75" s="5" t="s">
        <v>398</v>
      </c>
      <c r="C75" s="5"/>
      <c r="D75" s="5"/>
      <c r="E75" s="5" t="s">
        <v>42</v>
      </c>
      <c r="F75" s="5"/>
      <c r="G75" s="5"/>
      <c r="H75" s="5"/>
      <c r="I75" s="5"/>
      <c r="J75" s="5"/>
      <c r="K75" s="5" t="s">
        <v>2294</v>
      </c>
      <c r="L75" s="5"/>
    </row>
    <row r="76" customFormat="false" ht="23.25" hidden="false" customHeight="true" outlineLevel="0" collapsed="false">
      <c r="A76" s="5" t="s">
        <v>401</v>
      </c>
      <c r="B76" s="5" t="s">
        <v>402</v>
      </c>
      <c r="C76" s="5"/>
      <c r="D76" s="5"/>
      <c r="E76" s="5" t="s">
        <v>44</v>
      </c>
      <c r="F76" s="5"/>
      <c r="G76" s="5"/>
      <c r="H76" s="5"/>
      <c r="I76" s="5"/>
      <c r="J76" s="5"/>
      <c r="K76" s="5" t="s">
        <v>2294</v>
      </c>
      <c r="L76" s="5"/>
    </row>
    <row r="77" customFormat="false" ht="23.25" hidden="false" customHeight="true" outlineLevel="0" collapsed="false">
      <c r="A77" s="5" t="s">
        <v>406</v>
      </c>
      <c r="B77" s="5" t="s">
        <v>407</v>
      </c>
      <c r="C77" s="5"/>
      <c r="D77" s="5"/>
      <c r="E77" s="5" t="s">
        <v>44</v>
      </c>
      <c r="F77" s="5"/>
      <c r="G77" s="5"/>
      <c r="H77" s="5"/>
      <c r="I77" s="5"/>
      <c r="J77" s="5"/>
      <c r="K77" s="5" t="s">
        <v>2294</v>
      </c>
      <c r="L77" s="5"/>
    </row>
    <row r="78" customFormat="false" ht="23.25" hidden="false" customHeight="true" outlineLevel="0" collapsed="false">
      <c r="A78" s="5" t="s">
        <v>408</v>
      </c>
      <c r="B78" s="5" t="s">
        <v>409</v>
      </c>
      <c r="C78" s="5"/>
      <c r="D78" s="5"/>
      <c r="E78" s="5" t="s">
        <v>44</v>
      </c>
      <c r="F78" s="5"/>
      <c r="G78" s="5"/>
      <c r="H78" s="5"/>
      <c r="I78" s="5"/>
      <c r="J78" s="5"/>
      <c r="K78" s="5" t="s">
        <v>2294</v>
      </c>
      <c r="L78" s="5"/>
    </row>
    <row r="79" customFormat="false" ht="23.25" hidden="false" customHeight="true" outlineLevel="0" collapsed="false">
      <c r="A79" s="5" t="s">
        <v>412</v>
      </c>
      <c r="B79" s="5" t="s">
        <v>413</v>
      </c>
      <c r="C79" s="5"/>
      <c r="D79" s="5"/>
      <c r="E79" s="5" t="s">
        <v>44</v>
      </c>
      <c r="F79" s="5"/>
      <c r="G79" s="5"/>
      <c r="H79" s="5"/>
      <c r="I79" s="5"/>
      <c r="J79" s="5"/>
      <c r="K79" s="5" t="s">
        <v>2294</v>
      </c>
      <c r="L79" s="5"/>
    </row>
    <row r="80" customFormat="false" ht="23.25" hidden="false" customHeight="true" outlineLevel="0" collapsed="false">
      <c r="A80" s="5" t="s">
        <v>417</v>
      </c>
      <c r="B80" s="5" t="s">
        <v>418</v>
      </c>
      <c r="C80" s="5"/>
      <c r="D80" s="5"/>
      <c r="E80" s="5" t="s">
        <v>44</v>
      </c>
      <c r="F80" s="5"/>
      <c r="G80" s="5"/>
      <c r="H80" s="5"/>
      <c r="I80" s="5"/>
      <c r="J80" s="5"/>
      <c r="K80" s="5" t="s">
        <v>2294</v>
      </c>
      <c r="L80" s="5"/>
    </row>
    <row r="81" customFormat="false" ht="23.25" hidden="false" customHeight="true" outlineLevel="0" collapsed="false">
      <c r="A81" s="5" t="s">
        <v>419</v>
      </c>
      <c r="B81" s="5" t="s">
        <v>420</v>
      </c>
      <c r="C81" s="5"/>
      <c r="D81" s="5"/>
      <c r="E81" s="5" t="s">
        <v>44</v>
      </c>
      <c r="F81" s="5"/>
      <c r="G81" s="5"/>
      <c r="H81" s="5"/>
      <c r="I81" s="5"/>
      <c r="J81" s="5"/>
      <c r="K81" s="5" t="s">
        <v>2294</v>
      </c>
      <c r="L81" s="5"/>
    </row>
    <row r="82" customFormat="false" ht="23.25" hidden="false" customHeight="true" outlineLevel="0" collapsed="false">
      <c r="A82" s="5" t="s">
        <v>425</v>
      </c>
      <c r="B82" s="5" t="s">
        <v>426</v>
      </c>
      <c r="C82" s="5"/>
      <c r="D82" s="5"/>
      <c r="E82" s="5" t="s">
        <v>44</v>
      </c>
      <c r="F82" s="5"/>
      <c r="G82" s="5"/>
      <c r="H82" s="5"/>
      <c r="I82" s="5"/>
      <c r="J82" s="5"/>
      <c r="K82" s="5" t="s">
        <v>2294</v>
      </c>
      <c r="L82" s="5"/>
    </row>
    <row r="83" customFormat="false" ht="15" hidden="false" customHeight="true" outlineLevel="0" collapsed="false">
      <c r="A83" s="5" t="s">
        <v>429</v>
      </c>
      <c r="B83" s="5" t="s">
        <v>430</v>
      </c>
      <c r="C83" s="5"/>
      <c r="D83" s="5"/>
      <c r="E83" s="5" t="s">
        <v>44</v>
      </c>
      <c r="F83" s="5"/>
      <c r="G83" s="5"/>
      <c r="H83" s="5"/>
      <c r="I83" s="5"/>
      <c r="J83" s="5"/>
      <c r="K83" s="5" t="s">
        <v>2294</v>
      </c>
      <c r="L83" s="5"/>
    </row>
    <row r="84" customFormat="false" ht="15" hidden="false" customHeight="true" outlineLevel="0" collapsed="false">
      <c r="A84" s="5" t="s">
        <v>433</v>
      </c>
      <c r="B84" s="5" t="s">
        <v>434</v>
      </c>
      <c r="C84" s="5"/>
      <c r="D84" s="5"/>
      <c r="E84" s="5" t="s">
        <v>44</v>
      </c>
      <c r="F84" s="5"/>
      <c r="G84" s="5"/>
      <c r="H84" s="5"/>
      <c r="I84" s="5"/>
      <c r="J84" s="5"/>
      <c r="K84" s="5" t="s">
        <v>2294</v>
      </c>
      <c r="L84" s="5"/>
    </row>
    <row r="85" customFormat="false" ht="15" hidden="false" customHeight="true" outlineLevel="0" collapsed="false">
      <c r="A85" s="5" t="s">
        <v>439</v>
      </c>
      <c r="B85" s="5" t="s">
        <v>440</v>
      </c>
      <c r="C85" s="5"/>
      <c r="D85" s="5"/>
      <c r="E85" s="5" t="s">
        <v>44</v>
      </c>
      <c r="F85" s="5"/>
      <c r="G85" s="5"/>
      <c r="H85" s="5"/>
      <c r="I85" s="5"/>
      <c r="J85" s="5"/>
      <c r="K85" s="5" t="s">
        <v>2294</v>
      </c>
      <c r="L85" s="5"/>
    </row>
    <row r="86" customFormat="false" ht="23.25" hidden="false" customHeight="true" outlineLevel="0" collapsed="false">
      <c r="A86" s="5" t="s">
        <v>444</v>
      </c>
      <c r="B86" s="5" t="s">
        <v>445</v>
      </c>
      <c r="C86" s="5"/>
      <c r="D86" s="5"/>
      <c r="E86" s="5" t="s">
        <v>44</v>
      </c>
      <c r="F86" s="5"/>
      <c r="G86" s="5"/>
      <c r="H86" s="5"/>
      <c r="I86" s="5"/>
      <c r="J86" s="5"/>
      <c r="K86" s="5" t="s">
        <v>2294</v>
      </c>
      <c r="L86" s="5"/>
    </row>
    <row r="87" customFormat="false" ht="15" hidden="false" customHeight="true" outlineLevel="0" collapsed="false">
      <c r="A87" s="5" t="s">
        <v>450</v>
      </c>
      <c r="B87" s="5" t="s">
        <v>451</v>
      </c>
      <c r="C87" s="5"/>
      <c r="D87" s="5"/>
      <c r="E87" s="5" t="s">
        <v>44</v>
      </c>
      <c r="F87" s="5"/>
      <c r="G87" s="5"/>
      <c r="H87" s="5"/>
      <c r="I87" s="5"/>
      <c r="J87" s="5"/>
      <c r="K87" s="5" t="s">
        <v>2294</v>
      </c>
      <c r="L87" s="5"/>
    </row>
    <row r="88" customFormat="false" ht="15" hidden="false" customHeight="true" outlineLevel="0" collapsed="false">
      <c r="A88" s="5" t="s">
        <v>454</v>
      </c>
      <c r="B88" s="5" t="s">
        <v>455</v>
      </c>
      <c r="C88" s="5"/>
      <c r="D88" s="5"/>
      <c r="E88" s="5" t="s">
        <v>44</v>
      </c>
      <c r="F88" s="5"/>
      <c r="G88" s="5"/>
      <c r="H88" s="5"/>
      <c r="I88" s="5"/>
      <c r="J88" s="5"/>
      <c r="K88" s="5" t="s">
        <v>2294</v>
      </c>
      <c r="L88" s="5"/>
    </row>
    <row r="89" customFormat="false" ht="23.25" hidden="false" customHeight="true" outlineLevel="0" collapsed="false">
      <c r="A89" s="5" t="s">
        <v>459</v>
      </c>
      <c r="B89" s="5" t="s">
        <v>460</v>
      </c>
      <c r="C89" s="5"/>
      <c r="D89" s="5"/>
      <c r="E89" s="5" t="s">
        <v>44</v>
      </c>
      <c r="F89" s="5"/>
      <c r="G89" s="5"/>
      <c r="H89" s="5"/>
      <c r="I89" s="5"/>
      <c r="J89" s="5"/>
      <c r="K89" s="5" t="s">
        <v>2294</v>
      </c>
      <c r="L89" s="5"/>
    </row>
    <row r="90" customFormat="false" ht="15" hidden="false" customHeight="true" outlineLevel="0" collapsed="false">
      <c r="A90" s="5" t="s">
        <v>463</v>
      </c>
      <c r="B90" s="5" t="s">
        <v>464</v>
      </c>
      <c r="C90" s="5"/>
      <c r="D90" s="5"/>
      <c r="E90" s="5" t="s">
        <v>44</v>
      </c>
      <c r="F90" s="5"/>
      <c r="G90" s="5"/>
      <c r="H90" s="5"/>
      <c r="I90" s="5"/>
      <c r="J90" s="5"/>
      <c r="K90" s="5" t="s">
        <v>2294</v>
      </c>
      <c r="L90" s="5"/>
    </row>
    <row r="91" customFormat="false" ht="23.25" hidden="false" customHeight="true" outlineLevel="0" collapsed="false">
      <c r="A91" s="5" t="s">
        <v>467</v>
      </c>
      <c r="B91" s="5" t="s">
        <v>468</v>
      </c>
      <c r="C91" s="5"/>
      <c r="D91" s="5"/>
      <c r="E91" s="5" t="s">
        <v>44</v>
      </c>
      <c r="F91" s="5"/>
      <c r="G91" s="5"/>
      <c r="H91" s="5"/>
      <c r="I91" s="5"/>
      <c r="J91" s="5"/>
      <c r="K91" s="5" t="s">
        <v>2294</v>
      </c>
      <c r="L91" s="5"/>
    </row>
    <row r="92" customFormat="false" ht="15" hidden="false" customHeight="true" outlineLevel="0" collapsed="false">
      <c r="A92" s="5" t="s">
        <v>471</v>
      </c>
      <c r="B92" s="5" t="s">
        <v>472</v>
      </c>
      <c r="C92" s="5"/>
      <c r="D92" s="5"/>
      <c r="E92" s="5" t="s">
        <v>44</v>
      </c>
      <c r="F92" s="5"/>
      <c r="G92" s="5"/>
      <c r="H92" s="5"/>
      <c r="I92" s="5"/>
      <c r="J92" s="5"/>
      <c r="K92" s="5" t="s">
        <v>2294</v>
      </c>
      <c r="L92" s="5"/>
    </row>
    <row r="93" customFormat="false" ht="15" hidden="false" customHeight="true" outlineLevel="0" collapsed="false">
      <c r="A93" s="5" t="s">
        <v>477</v>
      </c>
      <c r="B93" s="5" t="s">
        <v>478</v>
      </c>
      <c r="C93" s="5"/>
      <c r="D93" s="5"/>
      <c r="E93" s="5" t="s">
        <v>44</v>
      </c>
      <c r="F93" s="5"/>
      <c r="G93" s="5"/>
      <c r="H93" s="5"/>
      <c r="I93" s="5"/>
      <c r="J93" s="5"/>
      <c r="K93" s="5" t="s">
        <v>2294</v>
      </c>
      <c r="L93" s="5"/>
    </row>
    <row r="94" customFormat="false" ht="23.25" hidden="false" customHeight="true" outlineLevel="0" collapsed="false">
      <c r="A94" s="5" t="s">
        <v>481</v>
      </c>
      <c r="B94" s="5" t="s">
        <v>482</v>
      </c>
      <c r="C94" s="5"/>
      <c r="D94" s="5"/>
      <c r="E94" s="5" t="s">
        <v>44</v>
      </c>
      <c r="F94" s="5"/>
      <c r="G94" s="5"/>
      <c r="H94" s="5"/>
      <c r="I94" s="5"/>
      <c r="J94" s="5"/>
      <c r="K94" s="5" t="s">
        <v>2294</v>
      </c>
      <c r="L94" s="5"/>
    </row>
    <row r="95" customFormat="false" ht="23.25" hidden="false" customHeight="true" outlineLevel="0" collapsed="false">
      <c r="A95" s="5" t="s">
        <v>486</v>
      </c>
      <c r="B95" s="5" t="s">
        <v>487</v>
      </c>
      <c r="C95" s="5"/>
      <c r="D95" s="5"/>
      <c r="E95" s="5" t="s">
        <v>44</v>
      </c>
      <c r="F95" s="5"/>
      <c r="G95" s="5"/>
      <c r="H95" s="5"/>
      <c r="I95" s="5"/>
      <c r="J95" s="5"/>
      <c r="K95" s="5" t="s">
        <v>2294</v>
      </c>
      <c r="L95" s="5"/>
    </row>
    <row r="96" customFormat="false" ht="15" hidden="false" customHeight="true" outlineLevel="0" collapsed="false">
      <c r="A96" s="5" t="s">
        <v>490</v>
      </c>
      <c r="B96" s="5" t="s">
        <v>491</v>
      </c>
      <c r="C96" s="5"/>
      <c r="D96" s="5"/>
      <c r="E96" s="5" t="s">
        <v>44</v>
      </c>
      <c r="F96" s="5"/>
      <c r="G96" s="5"/>
      <c r="H96" s="5"/>
      <c r="I96" s="5"/>
      <c r="J96" s="5"/>
      <c r="K96" s="5" t="s">
        <v>2294</v>
      </c>
      <c r="L96" s="5"/>
    </row>
    <row r="97" customFormat="false" ht="23.25" hidden="false" customHeight="true" outlineLevel="0" collapsed="false">
      <c r="A97" s="5" t="s">
        <v>496</v>
      </c>
      <c r="B97" s="5" t="s">
        <v>497</v>
      </c>
      <c r="C97" s="5"/>
      <c r="D97" s="5"/>
      <c r="E97" s="5" t="s">
        <v>42</v>
      </c>
      <c r="F97" s="5"/>
      <c r="G97" s="5"/>
      <c r="H97" s="5"/>
      <c r="I97" s="5"/>
      <c r="J97" s="5"/>
      <c r="K97" s="5" t="s">
        <v>2294</v>
      </c>
      <c r="L97" s="5"/>
    </row>
    <row r="98" customFormat="false" ht="15" hidden="false" customHeight="true" outlineLevel="0" collapsed="false">
      <c r="A98" s="5" t="s">
        <v>500</v>
      </c>
      <c r="B98" s="5" t="s">
        <v>501</v>
      </c>
      <c r="C98" s="5"/>
      <c r="D98" s="5"/>
      <c r="E98" s="5" t="s">
        <v>44</v>
      </c>
      <c r="F98" s="5"/>
      <c r="G98" s="5"/>
      <c r="H98" s="5"/>
      <c r="I98" s="5"/>
      <c r="J98" s="5"/>
      <c r="K98" s="5" t="s">
        <v>2294</v>
      </c>
      <c r="L98" s="5"/>
    </row>
    <row r="99" customFormat="false" ht="23.25" hidden="false" customHeight="true" outlineLevel="0" collapsed="false">
      <c r="A99" s="5" t="s">
        <v>504</v>
      </c>
      <c r="B99" s="5" t="s">
        <v>505</v>
      </c>
      <c r="C99" s="5"/>
      <c r="D99" s="5"/>
      <c r="E99" s="5" t="s">
        <v>44</v>
      </c>
      <c r="F99" s="5"/>
      <c r="G99" s="5"/>
      <c r="H99" s="5"/>
      <c r="I99" s="5"/>
      <c r="J99" s="5"/>
      <c r="K99" s="5" t="s">
        <v>2294</v>
      </c>
      <c r="L99" s="5"/>
    </row>
    <row r="100" customFormat="false" ht="15" hidden="false" customHeight="true" outlineLevel="0" collapsed="false">
      <c r="A100" s="5" t="s">
        <v>509</v>
      </c>
      <c r="B100" s="5" t="s">
        <v>510</v>
      </c>
      <c r="C100" s="5"/>
      <c r="D100" s="5"/>
      <c r="E100" s="5" t="s">
        <v>44</v>
      </c>
      <c r="F100" s="5"/>
      <c r="G100" s="5"/>
      <c r="H100" s="5"/>
      <c r="I100" s="5"/>
      <c r="J100" s="5"/>
      <c r="K100" s="5" t="s">
        <v>2294</v>
      </c>
      <c r="L100" s="5"/>
    </row>
    <row r="101" customFormat="false" ht="15" hidden="false" customHeight="true" outlineLevel="0" collapsed="false">
      <c r="A101" s="5" t="s">
        <v>514</v>
      </c>
      <c r="B101" s="5" t="s">
        <v>515</v>
      </c>
      <c r="C101" s="5"/>
      <c r="D101" s="5"/>
      <c r="E101" s="5" t="s">
        <v>44</v>
      </c>
      <c r="F101" s="5"/>
      <c r="G101" s="5"/>
      <c r="H101" s="5"/>
      <c r="I101" s="5"/>
      <c r="J101" s="5"/>
      <c r="K101" s="5" t="s">
        <v>2294</v>
      </c>
      <c r="L101" s="5"/>
    </row>
    <row r="102" customFormat="false" ht="15" hidden="false" customHeight="true" outlineLevel="0" collapsed="false">
      <c r="A102" s="5" t="s">
        <v>519</v>
      </c>
      <c r="B102" s="5" t="s">
        <v>520</v>
      </c>
      <c r="C102" s="5"/>
      <c r="D102" s="5"/>
      <c r="E102" s="5" t="s">
        <v>44</v>
      </c>
      <c r="F102" s="5"/>
      <c r="G102" s="5"/>
      <c r="H102" s="5"/>
      <c r="I102" s="5"/>
      <c r="J102" s="5"/>
      <c r="K102" s="5" t="s">
        <v>2294</v>
      </c>
      <c r="L102" s="5"/>
    </row>
    <row r="103" customFormat="false" ht="15" hidden="false" customHeight="true" outlineLevel="0" collapsed="false">
      <c r="A103" s="5" t="s">
        <v>525</v>
      </c>
      <c r="B103" s="5" t="s">
        <v>526</v>
      </c>
      <c r="C103" s="5"/>
      <c r="D103" s="5"/>
      <c r="E103" s="5" t="s">
        <v>44</v>
      </c>
      <c r="F103" s="5"/>
      <c r="G103" s="5"/>
      <c r="H103" s="5"/>
      <c r="I103" s="5"/>
      <c r="J103" s="5"/>
      <c r="K103" s="5" t="s">
        <v>2294</v>
      </c>
      <c r="L103" s="5"/>
    </row>
    <row r="104" customFormat="false" ht="23.25" hidden="false" customHeight="true" outlineLevel="0" collapsed="false">
      <c r="A104" s="5" t="s">
        <v>529</v>
      </c>
      <c r="B104" s="5" t="s">
        <v>530</v>
      </c>
      <c r="C104" s="5"/>
      <c r="D104" s="5"/>
      <c r="E104" s="5" t="s">
        <v>44</v>
      </c>
      <c r="F104" s="5"/>
      <c r="G104" s="5"/>
      <c r="H104" s="5"/>
      <c r="I104" s="5"/>
      <c r="J104" s="5"/>
      <c r="K104" s="5" t="s">
        <v>2294</v>
      </c>
      <c r="L104" s="5"/>
    </row>
    <row r="105" customFormat="false" ht="23.25" hidden="false" customHeight="true" outlineLevel="0" collapsed="false">
      <c r="A105" s="5" t="s">
        <v>533</v>
      </c>
      <c r="B105" s="5" t="s">
        <v>534</v>
      </c>
      <c r="C105" s="5"/>
      <c r="D105" s="5"/>
      <c r="E105" s="5" t="s">
        <v>44</v>
      </c>
      <c r="F105" s="5"/>
      <c r="G105" s="5"/>
      <c r="H105" s="5"/>
      <c r="I105" s="5"/>
      <c r="J105" s="5"/>
      <c r="K105" s="5" t="s">
        <v>2294</v>
      </c>
      <c r="L105" s="5"/>
    </row>
    <row r="106" customFormat="false" ht="23.25" hidden="false" customHeight="true" outlineLevel="0" collapsed="false">
      <c r="A106" s="5" t="s">
        <v>537</v>
      </c>
      <c r="B106" s="5" t="s">
        <v>538</v>
      </c>
      <c r="C106" s="5"/>
      <c r="D106" s="5"/>
      <c r="E106" s="5" t="s">
        <v>44</v>
      </c>
      <c r="F106" s="5"/>
      <c r="G106" s="5"/>
      <c r="H106" s="5"/>
      <c r="I106" s="5"/>
      <c r="J106" s="5"/>
      <c r="K106" s="5" t="s">
        <v>2294</v>
      </c>
      <c r="L106" s="5"/>
    </row>
    <row r="107" customFormat="false" ht="34.5" hidden="false" customHeight="true" outlineLevel="0" collapsed="false">
      <c r="A107" s="5" t="s">
        <v>542</v>
      </c>
      <c r="B107" s="5" t="s">
        <v>543</v>
      </c>
      <c r="C107" s="5"/>
      <c r="D107" s="5"/>
      <c r="E107" s="5" t="s">
        <v>42</v>
      </c>
      <c r="F107" s="5"/>
      <c r="G107" s="5"/>
      <c r="H107" s="5"/>
      <c r="I107" s="5"/>
      <c r="J107" s="5"/>
      <c r="K107" s="5" t="s">
        <v>2294</v>
      </c>
      <c r="L107" s="5"/>
    </row>
    <row r="108" customFormat="false" ht="23.25" hidden="false" customHeight="true" outlineLevel="0" collapsed="false">
      <c r="A108" s="5" t="s">
        <v>546</v>
      </c>
      <c r="B108" s="5" t="s">
        <v>547</v>
      </c>
      <c r="C108" s="5"/>
      <c r="D108" s="5"/>
      <c r="E108" s="5" t="s">
        <v>44</v>
      </c>
      <c r="F108" s="5"/>
      <c r="G108" s="5"/>
      <c r="H108" s="5"/>
      <c r="I108" s="5"/>
      <c r="J108" s="5"/>
      <c r="K108" s="5" t="s">
        <v>2294</v>
      </c>
      <c r="L108" s="5"/>
    </row>
    <row r="109" customFormat="false" ht="23.25" hidden="false" customHeight="true" outlineLevel="0" collapsed="false">
      <c r="A109" s="5" t="s">
        <v>550</v>
      </c>
      <c r="B109" s="5" t="s">
        <v>551</v>
      </c>
      <c r="C109" s="5"/>
      <c r="D109" s="5"/>
      <c r="E109" s="5" t="s">
        <v>44</v>
      </c>
      <c r="F109" s="5"/>
      <c r="G109" s="5"/>
      <c r="H109" s="5"/>
      <c r="I109" s="5"/>
      <c r="J109" s="5"/>
      <c r="K109" s="5" t="s">
        <v>2294</v>
      </c>
      <c r="L109" s="5"/>
    </row>
    <row r="110" customFormat="false" ht="15" hidden="false" customHeight="true" outlineLevel="0" collapsed="false">
      <c r="A110" s="5" t="s">
        <v>555</v>
      </c>
      <c r="B110" s="5" t="s">
        <v>556</v>
      </c>
      <c r="C110" s="5"/>
      <c r="D110" s="5"/>
      <c r="E110" s="5" t="s">
        <v>44</v>
      </c>
      <c r="F110" s="5"/>
      <c r="G110" s="5"/>
      <c r="H110" s="5"/>
      <c r="I110" s="5"/>
      <c r="J110" s="5"/>
      <c r="K110" s="5" t="s">
        <v>2294</v>
      </c>
      <c r="L110" s="5"/>
    </row>
    <row r="111" customFormat="false" ht="15" hidden="false" customHeight="true" outlineLevel="0" collapsed="false">
      <c r="A111" s="5" t="s">
        <v>559</v>
      </c>
      <c r="B111" s="5" t="s">
        <v>560</v>
      </c>
      <c r="C111" s="5"/>
      <c r="D111" s="5"/>
      <c r="E111" s="5" t="s">
        <v>44</v>
      </c>
      <c r="F111" s="5"/>
      <c r="G111" s="5"/>
      <c r="H111" s="5"/>
      <c r="I111" s="5"/>
      <c r="J111" s="5"/>
      <c r="K111" s="5" t="s">
        <v>2294</v>
      </c>
      <c r="L111" s="5"/>
    </row>
    <row r="112" customFormat="false" ht="15" hidden="false" customHeight="true" outlineLevel="0" collapsed="false">
      <c r="A112" s="5" t="s">
        <v>564</v>
      </c>
      <c r="B112" s="5" t="s">
        <v>565</v>
      </c>
      <c r="C112" s="5"/>
      <c r="D112" s="5"/>
      <c r="E112" s="5" t="s">
        <v>44</v>
      </c>
      <c r="F112" s="5"/>
      <c r="G112" s="5"/>
      <c r="H112" s="5"/>
      <c r="I112" s="5"/>
      <c r="J112" s="5"/>
      <c r="K112" s="5" t="s">
        <v>2294</v>
      </c>
      <c r="L112" s="5"/>
    </row>
    <row r="113" customFormat="false" ht="15" hidden="false" customHeight="true" outlineLevel="0" collapsed="false">
      <c r="A113" s="5" t="s">
        <v>571</v>
      </c>
      <c r="B113" s="5" t="s">
        <v>572</v>
      </c>
      <c r="C113" s="5"/>
      <c r="D113" s="5"/>
      <c r="E113" s="5" t="s">
        <v>44</v>
      </c>
      <c r="F113" s="5"/>
      <c r="G113" s="5"/>
      <c r="H113" s="5"/>
      <c r="I113" s="5"/>
      <c r="J113" s="5"/>
      <c r="K113" s="5" t="s">
        <v>2294</v>
      </c>
      <c r="L113" s="5"/>
    </row>
    <row r="114" customFormat="false" ht="15" hidden="false" customHeight="true" outlineLevel="0" collapsed="false">
      <c r="A114" s="5" t="s">
        <v>575</v>
      </c>
      <c r="B114" s="5" t="s">
        <v>576</v>
      </c>
      <c r="C114" s="5"/>
      <c r="D114" s="5"/>
      <c r="E114" s="5" t="s">
        <v>44</v>
      </c>
      <c r="F114" s="5"/>
      <c r="G114" s="5"/>
      <c r="H114" s="5"/>
      <c r="I114" s="5"/>
      <c r="J114" s="5"/>
      <c r="K114" s="5" t="s">
        <v>2294</v>
      </c>
      <c r="L114" s="5"/>
    </row>
    <row r="115" customFormat="false" ht="23.25" hidden="false" customHeight="true" outlineLevel="0" collapsed="false">
      <c r="A115" s="5" t="s">
        <v>579</v>
      </c>
      <c r="B115" s="5" t="s">
        <v>580</v>
      </c>
      <c r="C115" s="5"/>
      <c r="D115" s="5"/>
      <c r="E115" s="5" t="s">
        <v>42</v>
      </c>
      <c r="F115" s="5"/>
      <c r="G115" s="5"/>
      <c r="H115" s="5"/>
      <c r="I115" s="5"/>
      <c r="J115" s="5"/>
      <c r="K115" s="5" t="s">
        <v>2294</v>
      </c>
      <c r="L115" s="5"/>
    </row>
    <row r="116" customFormat="false" ht="15" hidden="false" customHeight="true" outlineLevel="0" collapsed="false">
      <c r="A116" s="5" t="s">
        <v>582</v>
      </c>
      <c r="B116" s="5" t="s">
        <v>583</v>
      </c>
      <c r="C116" s="5"/>
      <c r="D116" s="5"/>
      <c r="E116" s="5" t="s">
        <v>44</v>
      </c>
      <c r="F116" s="5"/>
      <c r="G116" s="5"/>
      <c r="H116" s="5"/>
      <c r="I116" s="5"/>
      <c r="J116" s="5"/>
      <c r="K116" s="5" t="s">
        <v>2294</v>
      </c>
      <c r="L116" s="5"/>
    </row>
    <row r="117" customFormat="false" ht="23.25" hidden="false" customHeight="true" outlineLevel="0" collapsed="false">
      <c r="A117" s="5" t="s">
        <v>587</v>
      </c>
      <c r="B117" s="5" t="s">
        <v>588</v>
      </c>
      <c r="C117" s="5"/>
      <c r="D117" s="5"/>
      <c r="E117" s="5" t="s">
        <v>44</v>
      </c>
      <c r="F117" s="5"/>
      <c r="G117" s="5"/>
      <c r="H117" s="5"/>
      <c r="I117" s="5"/>
      <c r="J117" s="5"/>
      <c r="K117" s="5" t="s">
        <v>2294</v>
      </c>
      <c r="L117" s="5"/>
    </row>
    <row r="118" customFormat="false" ht="23.25" hidden="false" customHeight="true" outlineLevel="0" collapsed="false">
      <c r="A118" s="5" t="s">
        <v>594</v>
      </c>
      <c r="B118" s="5" t="s">
        <v>595</v>
      </c>
      <c r="C118" s="5"/>
      <c r="D118" s="5"/>
      <c r="E118" s="5" t="s">
        <v>42</v>
      </c>
      <c r="F118" s="5"/>
      <c r="G118" s="5"/>
      <c r="H118" s="5"/>
      <c r="I118" s="5"/>
      <c r="J118" s="5"/>
      <c r="K118" s="5" t="s">
        <v>2294</v>
      </c>
      <c r="L118" s="5"/>
    </row>
    <row r="119" customFormat="false" ht="23.25" hidden="false" customHeight="true" outlineLevel="0" collapsed="false">
      <c r="A119" s="5" t="s">
        <v>599</v>
      </c>
      <c r="B119" s="5" t="s">
        <v>600</v>
      </c>
      <c r="C119" s="5"/>
      <c r="D119" s="5"/>
      <c r="E119" s="5" t="s">
        <v>44</v>
      </c>
      <c r="F119" s="5"/>
      <c r="G119" s="5"/>
      <c r="H119" s="5"/>
      <c r="I119" s="5"/>
      <c r="J119" s="5"/>
      <c r="K119" s="5" t="s">
        <v>2294</v>
      </c>
      <c r="L119" s="5"/>
    </row>
    <row r="120" customFormat="false" ht="15" hidden="false" customHeight="true" outlineLevel="0" collapsed="false">
      <c r="A120" s="5" t="s">
        <v>604</v>
      </c>
      <c r="B120" s="5" t="s">
        <v>605</v>
      </c>
      <c r="C120" s="5"/>
      <c r="D120" s="5"/>
      <c r="E120" s="5" t="s">
        <v>44</v>
      </c>
      <c r="F120" s="5"/>
      <c r="G120" s="5"/>
      <c r="H120" s="5"/>
      <c r="I120" s="5"/>
      <c r="J120" s="5"/>
      <c r="K120" s="5" t="s">
        <v>2294</v>
      </c>
      <c r="L120" s="5"/>
    </row>
    <row r="121" customFormat="false" ht="23.25" hidden="false" customHeight="true" outlineLevel="0" collapsed="false">
      <c r="A121" s="5" t="s">
        <v>608</v>
      </c>
      <c r="B121" s="5" t="s">
        <v>609</v>
      </c>
      <c r="C121" s="5"/>
      <c r="D121" s="5"/>
      <c r="E121" s="5" t="s">
        <v>44</v>
      </c>
      <c r="F121" s="5"/>
      <c r="G121" s="5"/>
      <c r="H121" s="5"/>
      <c r="I121" s="5"/>
      <c r="J121" s="5"/>
      <c r="K121" s="5" t="s">
        <v>2294</v>
      </c>
      <c r="L121" s="5"/>
    </row>
    <row r="122" customFormat="false" ht="23.25" hidden="false" customHeight="true" outlineLevel="0" collapsed="false">
      <c r="A122" s="5" t="s">
        <v>612</v>
      </c>
      <c r="B122" s="5" t="s">
        <v>613</v>
      </c>
      <c r="C122" s="5"/>
      <c r="D122" s="5"/>
      <c r="E122" s="5" t="s">
        <v>44</v>
      </c>
      <c r="F122" s="5"/>
      <c r="G122" s="5"/>
      <c r="H122" s="5"/>
      <c r="I122" s="5"/>
      <c r="J122" s="5"/>
      <c r="K122" s="5" t="s">
        <v>2294</v>
      </c>
      <c r="L122" s="5"/>
    </row>
    <row r="123" customFormat="false" ht="15" hidden="false" customHeight="true" outlineLevel="0" collapsed="false">
      <c r="A123" s="5" t="s">
        <v>616</v>
      </c>
      <c r="B123" s="5" t="s">
        <v>617</v>
      </c>
      <c r="C123" s="5"/>
      <c r="D123" s="5"/>
      <c r="E123" s="5" t="s">
        <v>42</v>
      </c>
      <c r="F123" s="5"/>
      <c r="G123" s="5"/>
      <c r="H123" s="5"/>
      <c r="I123" s="5"/>
      <c r="J123" s="5"/>
      <c r="K123" s="5" t="s">
        <v>2294</v>
      </c>
      <c r="L123" s="5"/>
    </row>
    <row r="124" customFormat="false" ht="23.25" hidden="false" customHeight="true" outlineLevel="0" collapsed="false">
      <c r="A124" s="5" t="s">
        <v>621</v>
      </c>
      <c r="B124" s="5" t="s">
        <v>622</v>
      </c>
      <c r="C124" s="5"/>
      <c r="D124" s="5"/>
      <c r="E124" s="5" t="s">
        <v>42</v>
      </c>
      <c r="F124" s="5"/>
      <c r="G124" s="5"/>
      <c r="H124" s="5"/>
      <c r="I124" s="5"/>
      <c r="J124" s="5"/>
      <c r="K124" s="5" t="s">
        <v>2294</v>
      </c>
      <c r="L124" s="5"/>
    </row>
    <row r="125" customFormat="false" ht="23.25" hidden="false" customHeight="true" outlineLevel="0" collapsed="false">
      <c r="A125" s="5" t="s">
        <v>626</v>
      </c>
      <c r="B125" s="5" t="s">
        <v>627</v>
      </c>
      <c r="C125" s="5"/>
      <c r="D125" s="5"/>
      <c r="E125" s="5" t="s">
        <v>44</v>
      </c>
      <c r="F125" s="5"/>
      <c r="G125" s="5"/>
      <c r="H125" s="5"/>
      <c r="I125" s="5"/>
      <c r="J125" s="5"/>
      <c r="K125" s="5" t="s">
        <v>2294</v>
      </c>
      <c r="L125" s="5"/>
    </row>
    <row r="126" customFormat="false" ht="15" hidden="false" customHeight="true" outlineLevel="0" collapsed="false">
      <c r="A126" s="5" t="s">
        <v>630</v>
      </c>
      <c r="B126" s="5" t="s">
        <v>631</v>
      </c>
      <c r="C126" s="5"/>
      <c r="D126" s="5"/>
      <c r="E126" s="5" t="s">
        <v>42</v>
      </c>
      <c r="F126" s="5"/>
      <c r="G126" s="5"/>
      <c r="H126" s="5"/>
      <c r="I126" s="5"/>
      <c r="J126" s="5"/>
      <c r="K126" s="5" t="s">
        <v>2294</v>
      </c>
      <c r="L126" s="5"/>
    </row>
    <row r="127" customFormat="false" ht="15" hidden="false" customHeight="true" outlineLevel="0" collapsed="false">
      <c r="A127" s="5" t="s">
        <v>634</v>
      </c>
      <c r="B127" s="5" t="s">
        <v>635</v>
      </c>
      <c r="C127" s="5"/>
      <c r="D127" s="5"/>
      <c r="E127" s="5" t="s">
        <v>44</v>
      </c>
      <c r="F127" s="5"/>
      <c r="G127" s="5"/>
      <c r="H127" s="5"/>
      <c r="I127" s="5"/>
      <c r="J127" s="5"/>
      <c r="K127" s="5" t="s">
        <v>2294</v>
      </c>
      <c r="L127" s="5"/>
    </row>
    <row r="128" customFormat="false" ht="15" hidden="false" customHeight="true" outlineLevel="0" collapsed="false">
      <c r="A128" s="5" t="s">
        <v>638</v>
      </c>
      <c r="B128" s="5" t="s">
        <v>639</v>
      </c>
      <c r="C128" s="5"/>
      <c r="D128" s="5"/>
      <c r="E128" s="5" t="s">
        <v>44</v>
      </c>
      <c r="F128" s="5"/>
      <c r="G128" s="5"/>
      <c r="H128" s="5"/>
      <c r="I128" s="5"/>
      <c r="J128" s="5"/>
      <c r="K128" s="5" t="s">
        <v>2294</v>
      </c>
      <c r="L128" s="5"/>
    </row>
    <row r="129" customFormat="false" ht="15" hidden="false" customHeight="true" outlineLevel="0" collapsed="false">
      <c r="A129" s="5" t="s">
        <v>642</v>
      </c>
      <c r="B129" s="5" t="s">
        <v>643</v>
      </c>
      <c r="C129" s="5"/>
      <c r="D129" s="5"/>
      <c r="E129" s="5" t="s">
        <v>44</v>
      </c>
      <c r="F129" s="5"/>
      <c r="G129" s="5"/>
      <c r="H129" s="5"/>
      <c r="I129" s="5"/>
      <c r="J129" s="5"/>
      <c r="K129" s="5" t="s">
        <v>2294</v>
      </c>
      <c r="L129" s="5"/>
    </row>
    <row r="130" customFormat="false" ht="15" hidden="false" customHeight="true" outlineLevel="0" collapsed="false">
      <c r="A130" s="5" t="s">
        <v>647</v>
      </c>
      <c r="B130" s="5" t="s">
        <v>648</v>
      </c>
      <c r="C130" s="5"/>
      <c r="D130" s="5"/>
      <c r="E130" s="5" t="s">
        <v>44</v>
      </c>
      <c r="F130" s="5"/>
      <c r="G130" s="5"/>
      <c r="H130" s="5"/>
      <c r="I130" s="5"/>
      <c r="J130" s="5"/>
      <c r="K130" s="5" t="s">
        <v>2294</v>
      </c>
      <c r="L130" s="5"/>
    </row>
    <row r="131" customFormat="false" ht="15" hidden="false" customHeight="true" outlineLevel="0" collapsed="false">
      <c r="A131" s="5" t="s">
        <v>651</v>
      </c>
      <c r="B131" s="5" t="s">
        <v>652</v>
      </c>
      <c r="C131" s="5"/>
      <c r="D131" s="5"/>
      <c r="E131" s="5" t="s">
        <v>44</v>
      </c>
      <c r="F131" s="5"/>
      <c r="G131" s="5"/>
      <c r="H131" s="5"/>
      <c r="I131" s="5"/>
      <c r="J131" s="5"/>
      <c r="K131" s="5" t="s">
        <v>2294</v>
      </c>
      <c r="L131" s="5"/>
    </row>
    <row r="132" customFormat="false" ht="23.25" hidden="false" customHeight="true" outlineLevel="0" collapsed="false">
      <c r="A132" s="5" t="s">
        <v>656</v>
      </c>
      <c r="B132" s="5" t="s">
        <v>657</v>
      </c>
      <c r="C132" s="5"/>
      <c r="D132" s="5"/>
      <c r="E132" s="5" t="s">
        <v>44</v>
      </c>
      <c r="F132" s="5"/>
      <c r="G132" s="5"/>
      <c r="H132" s="5"/>
      <c r="I132" s="5"/>
      <c r="J132" s="5"/>
      <c r="K132" s="5" t="s">
        <v>2294</v>
      </c>
      <c r="L132" s="5"/>
    </row>
    <row r="133" customFormat="false" ht="23.25" hidden="false" customHeight="true" outlineLevel="0" collapsed="false">
      <c r="A133" s="5" t="s">
        <v>660</v>
      </c>
      <c r="B133" s="5" t="s">
        <v>661</v>
      </c>
      <c r="C133" s="5"/>
      <c r="D133" s="5"/>
      <c r="E133" s="5" t="s">
        <v>44</v>
      </c>
      <c r="F133" s="5"/>
      <c r="G133" s="5"/>
      <c r="H133" s="5"/>
      <c r="I133" s="5"/>
      <c r="J133" s="5"/>
      <c r="K133" s="5" t="s">
        <v>2294</v>
      </c>
      <c r="L133" s="5"/>
    </row>
    <row r="134" customFormat="false" ht="23.25" hidden="false" customHeight="true" outlineLevel="0" collapsed="false">
      <c r="A134" s="5" t="s">
        <v>665</v>
      </c>
      <c r="B134" s="5" t="s">
        <v>666</v>
      </c>
      <c r="C134" s="5"/>
      <c r="D134" s="5"/>
      <c r="E134" s="5" t="s">
        <v>44</v>
      </c>
      <c r="F134" s="5"/>
      <c r="G134" s="5"/>
      <c r="H134" s="5"/>
      <c r="I134" s="5"/>
      <c r="J134" s="5"/>
      <c r="K134" s="5" t="s">
        <v>2294</v>
      </c>
      <c r="L134" s="5"/>
    </row>
    <row r="135" customFormat="false" ht="15" hidden="false" customHeight="true" outlineLevel="0" collapsed="false">
      <c r="A135" s="5" t="s">
        <v>669</v>
      </c>
      <c r="B135" s="5" t="s">
        <v>670</v>
      </c>
      <c r="C135" s="5"/>
      <c r="D135" s="5"/>
      <c r="E135" s="5" t="s">
        <v>44</v>
      </c>
      <c r="F135" s="5"/>
      <c r="G135" s="5"/>
      <c r="H135" s="5"/>
      <c r="I135" s="5"/>
      <c r="J135" s="5"/>
      <c r="K135" s="5" t="s">
        <v>2294</v>
      </c>
      <c r="L135" s="5"/>
    </row>
    <row r="136" customFormat="false" ht="15" hidden="false" customHeight="true" outlineLevel="0" collapsed="false">
      <c r="A136" s="5" t="s">
        <v>673</v>
      </c>
      <c r="B136" s="5" t="s">
        <v>674</v>
      </c>
      <c r="C136" s="5"/>
      <c r="D136" s="5"/>
      <c r="E136" s="5" t="s">
        <v>42</v>
      </c>
      <c r="F136" s="5"/>
      <c r="G136" s="5"/>
      <c r="H136" s="5"/>
      <c r="I136" s="5"/>
      <c r="J136" s="5"/>
      <c r="K136" s="5" t="s">
        <v>2294</v>
      </c>
      <c r="L136" s="5"/>
    </row>
    <row r="137" customFormat="false" ht="23.25" hidden="false" customHeight="true" outlineLevel="0" collapsed="false">
      <c r="A137" s="5" t="s">
        <v>677</v>
      </c>
      <c r="B137" s="5" t="s">
        <v>678</v>
      </c>
      <c r="C137" s="5"/>
      <c r="D137" s="5"/>
      <c r="E137" s="5" t="s">
        <v>44</v>
      </c>
      <c r="F137" s="5"/>
      <c r="G137" s="5"/>
      <c r="H137" s="5"/>
      <c r="I137" s="5"/>
      <c r="J137" s="5"/>
      <c r="K137" s="5" t="s">
        <v>2294</v>
      </c>
      <c r="L137" s="5"/>
    </row>
    <row r="138" customFormat="false" ht="23.25" hidden="false" customHeight="true" outlineLevel="0" collapsed="false">
      <c r="A138" s="5" t="s">
        <v>681</v>
      </c>
      <c r="B138" s="5" t="s">
        <v>682</v>
      </c>
      <c r="C138" s="5"/>
      <c r="D138" s="5"/>
      <c r="E138" s="5" t="s">
        <v>44</v>
      </c>
      <c r="F138" s="5"/>
      <c r="G138" s="5"/>
      <c r="H138" s="5"/>
      <c r="I138" s="5"/>
      <c r="J138" s="5"/>
      <c r="K138" s="5" t="s">
        <v>2294</v>
      </c>
      <c r="L138" s="5"/>
    </row>
    <row r="139" customFormat="false" ht="15" hidden="false" customHeight="true" outlineLevel="0" collapsed="false">
      <c r="A139" s="5" t="s">
        <v>686</v>
      </c>
      <c r="B139" s="5" t="s">
        <v>687</v>
      </c>
      <c r="C139" s="5"/>
      <c r="D139" s="5"/>
      <c r="E139" s="5" t="s">
        <v>44</v>
      </c>
      <c r="F139" s="5"/>
      <c r="G139" s="5"/>
      <c r="H139" s="5"/>
      <c r="I139" s="5"/>
      <c r="J139" s="5"/>
      <c r="K139" s="5" t="s">
        <v>2294</v>
      </c>
      <c r="L139" s="5"/>
    </row>
    <row r="140" customFormat="false" ht="15" hidden="false" customHeight="true" outlineLevel="0" collapsed="false">
      <c r="A140" s="5" t="s">
        <v>690</v>
      </c>
      <c r="B140" s="5" t="s">
        <v>691</v>
      </c>
      <c r="C140" s="5"/>
      <c r="D140" s="5"/>
      <c r="E140" s="5" t="s">
        <v>44</v>
      </c>
      <c r="F140" s="5"/>
      <c r="G140" s="5"/>
      <c r="H140" s="5"/>
      <c r="I140" s="5"/>
      <c r="J140" s="5"/>
      <c r="K140" s="5" t="s">
        <v>2294</v>
      </c>
      <c r="L140" s="5"/>
    </row>
    <row r="141" customFormat="false" ht="15" hidden="false" customHeight="true" outlineLevel="0" collapsed="false">
      <c r="A141" s="5" t="s">
        <v>694</v>
      </c>
      <c r="B141" s="5" t="s">
        <v>695</v>
      </c>
      <c r="C141" s="5"/>
      <c r="D141" s="5"/>
      <c r="E141" s="5" t="s">
        <v>44</v>
      </c>
      <c r="F141" s="5"/>
      <c r="G141" s="5"/>
      <c r="H141" s="5"/>
      <c r="I141" s="5"/>
      <c r="J141" s="5"/>
      <c r="K141" s="5" t="s">
        <v>2294</v>
      </c>
      <c r="L141" s="5"/>
    </row>
    <row r="142" customFormat="false" ht="23.25" hidden="false" customHeight="true" outlineLevel="0" collapsed="false">
      <c r="A142" s="5" t="s">
        <v>700</v>
      </c>
      <c r="B142" s="5" t="s">
        <v>701</v>
      </c>
      <c r="C142" s="5"/>
      <c r="D142" s="5"/>
      <c r="E142" s="5" t="s">
        <v>44</v>
      </c>
      <c r="F142" s="5"/>
      <c r="G142" s="5"/>
      <c r="H142" s="5"/>
      <c r="I142" s="5"/>
      <c r="J142" s="5"/>
      <c r="K142" s="5" t="s">
        <v>2294</v>
      </c>
      <c r="L142" s="5"/>
    </row>
    <row r="143" customFormat="false" ht="23.25" hidden="false" customHeight="true" outlineLevel="0" collapsed="false">
      <c r="A143" s="5" t="s">
        <v>705</v>
      </c>
      <c r="B143" s="5" t="s">
        <v>706</v>
      </c>
      <c r="C143" s="5"/>
      <c r="D143" s="5"/>
      <c r="E143" s="5" t="s">
        <v>44</v>
      </c>
      <c r="F143" s="5"/>
      <c r="G143" s="5"/>
      <c r="H143" s="5"/>
      <c r="I143" s="5"/>
      <c r="J143" s="5"/>
      <c r="K143" s="5" t="s">
        <v>2294</v>
      </c>
      <c r="L143" s="5"/>
    </row>
    <row r="144" customFormat="false" ht="15" hidden="false" customHeight="true" outlineLevel="0" collapsed="false">
      <c r="A144" s="5" t="s">
        <v>710</v>
      </c>
      <c r="B144" s="5" t="s">
        <v>711</v>
      </c>
      <c r="C144" s="5"/>
      <c r="D144" s="5"/>
      <c r="E144" s="5" t="s">
        <v>44</v>
      </c>
      <c r="F144" s="5"/>
      <c r="G144" s="5"/>
      <c r="H144" s="5"/>
      <c r="I144" s="5"/>
      <c r="J144" s="5"/>
      <c r="K144" s="5" t="s">
        <v>2294</v>
      </c>
      <c r="L144" s="5"/>
    </row>
    <row r="145" customFormat="false" ht="23.25" hidden="false" customHeight="true" outlineLevel="0" collapsed="false">
      <c r="A145" s="5" t="s">
        <v>714</v>
      </c>
      <c r="B145" s="5" t="s">
        <v>715</v>
      </c>
      <c r="C145" s="5"/>
      <c r="D145" s="5"/>
      <c r="E145" s="5" t="s">
        <v>44</v>
      </c>
      <c r="F145" s="5"/>
      <c r="G145" s="5"/>
      <c r="H145" s="5"/>
      <c r="I145" s="5"/>
      <c r="J145" s="5"/>
      <c r="K145" s="5" t="s">
        <v>2294</v>
      </c>
      <c r="L145" s="5"/>
    </row>
    <row r="146" customFormat="false" ht="15" hidden="false" customHeight="true" outlineLevel="0" collapsed="false">
      <c r="A146" s="5" t="s">
        <v>718</v>
      </c>
      <c r="B146" s="5" t="s">
        <v>719</v>
      </c>
      <c r="C146" s="5"/>
      <c r="D146" s="5"/>
      <c r="E146" s="5" t="s">
        <v>44</v>
      </c>
      <c r="F146" s="5"/>
      <c r="G146" s="5"/>
      <c r="H146" s="5"/>
      <c r="I146" s="5"/>
      <c r="J146" s="5"/>
      <c r="K146" s="5" t="s">
        <v>2294</v>
      </c>
      <c r="L146" s="5"/>
    </row>
    <row r="147" customFormat="false" ht="23.25" hidden="false" customHeight="true" outlineLevel="0" collapsed="false">
      <c r="A147" s="5" t="s">
        <v>724</v>
      </c>
      <c r="B147" s="5" t="s">
        <v>725</v>
      </c>
      <c r="C147" s="5"/>
      <c r="D147" s="5"/>
      <c r="E147" s="5" t="s">
        <v>44</v>
      </c>
      <c r="F147" s="5"/>
      <c r="G147" s="5"/>
      <c r="H147" s="5"/>
      <c r="I147" s="5"/>
      <c r="J147" s="5"/>
      <c r="K147" s="5" t="s">
        <v>2294</v>
      </c>
      <c r="L147" s="5"/>
    </row>
    <row r="148" customFormat="false" ht="23.25" hidden="false" customHeight="true" outlineLevel="0" collapsed="false">
      <c r="A148" s="5" t="s">
        <v>730</v>
      </c>
      <c r="B148" s="5" t="s">
        <v>731</v>
      </c>
      <c r="C148" s="5"/>
      <c r="D148" s="5"/>
      <c r="E148" s="5" t="s">
        <v>42</v>
      </c>
      <c r="F148" s="5"/>
      <c r="G148" s="5"/>
      <c r="H148" s="5"/>
      <c r="I148" s="5"/>
      <c r="J148" s="5"/>
      <c r="K148" s="5" t="s">
        <v>2294</v>
      </c>
      <c r="L148" s="5"/>
    </row>
    <row r="149" customFormat="false" ht="23.25" hidden="false" customHeight="true" outlineLevel="0" collapsed="false">
      <c r="A149" s="5" t="s">
        <v>735</v>
      </c>
      <c r="B149" s="5" t="s">
        <v>736</v>
      </c>
      <c r="C149" s="5"/>
      <c r="D149" s="5"/>
      <c r="E149" s="5" t="s">
        <v>44</v>
      </c>
      <c r="F149" s="5"/>
      <c r="G149" s="5"/>
      <c r="H149" s="5"/>
      <c r="I149" s="5"/>
      <c r="J149" s="5"/>
      <c r="K149" s="5" t="s">
        <v>2294</v>
      </c>
      <c r="L149" s="5"/>
    </row>
    <row r="150" customFormat="false" ht="23.25" hidden="false" customHeight="true" outlineLevel="0" collapsed="false">
      <c r="A150" s="5" t="s">
        <v>739</v>
      </c>
      <c r="B150" s="5" t="s">
        <v>740</v>
      </c>
      <c r="C150" s="5"/>
      <c r="D150" s="5"/>
      <c r="E150" s="5" t="s">
        <v>44</v>
      </c>
      <c r="F150" s="5"/>
      <c r="G150" s="5"/>
      <c r="H150" s="5"/>
      <c r="I150" s="5"/>
      <c r="J150" s="5"/>
      <c r="K150" s="5" t="s">
        <v>2294</v>
      </c>
      <c r="L150" s="5"/>
    </row>
    <row r="151" customFormat="false" ht="23.25" hidden="false" customHeight="true" outlineLevel="0" collapsed="false">
      <c r="A151" s="5" t="s">
        <v>743</v>
      </c>
      <c r="B151" s="5" t="s">
        <v>744</v>
      </c>
      <c r="C151" s="5"/>
      <c r="D151" s="5"/>
      <c r="E151" s="5" t="s">
        <v>42</v>
      </c>
      <c r="F151" s="5"/>
      <c r="G151" s="5"/>
      <c r="H151" s="5"/>
      <c r="I151" s="5"/>
      <c r="J151" s="5"/>
      <c r="K151" s="5" t="s">
        <v>2294</v>
      </c>
      <c r="L151" s="5"/>
    </row>
    <row r="152" customFormat="false" ht="15" hidden="false" customHeight="true" outlineLevel="0" collapsed="false">
      <c r="A152" s="5" t="s">
        <v>748</v>
      </c>
      <c r="B152" s="5" t="s">
        <v>749</v>
      </c>
      <c r="C152" s="5"/>
      <c r="D152" s="5"/>
      <c r="E152" s="5" t="s">
        <v>44</v>
      </c>
      <c r="F152" s="5"/>
      <c r="G152" s="5"/>
      <c r="H152" s="5"/>
      <c r="I152" s="5"/>
      <c r="J152" s="5"/>
      <c r="K152" s="5" t="s">
        <v>2294</v>
      </c>
      <c r="L152" s="5"/>
    </row>
    <row r="153" customFormat="false" ht="23.25" hidden="false" customHeight="true" outlineLevel="0" collapsed="false">
      <c r="A153" s="5" t="s">
        <v>752</v>
      </c>
      <c r="B153" s="5" t="s">
        <v>753</v>
      </c>
      <c r="C153" s="5"/>
      <c r="D153" s="5"/>
      <c r="E153" s="5" t="s">
        <v>44</v>
      </c>
      <c r="F153" s="5"/>
      <c r="G153" s="5"/>
      <c r="H153" s="5"/>
      <c r="I153" s="5"/>
      <c r="J153" s="5"/>
      <c r="K153" s="5" t="s">
        <v>2294</v>
      </c>
      <c r="L153" s="5"/>
    </row>
    <row r="154" customFormat="false" ht="15" hidden="false" customHeight="true" outlineLevel="0" collapsed="false">
      <c r="A154" s="5" t="s">
        <v>754</v>
      </c>
      <c r="B154" s="5" t="s">
        <v>755</v>
      </c>
      <c r="C154" s="5"/>
      <c r="D154" s="5"/>
      <c r="E154" s="5" t="s">
        <v>44</v>
      </c>
      <c r="F154" s="5"/>
      <c r="G154" s="5"/>
      <c r="H154" s="5"/>
      <c r="I154" s="5"/>
      <c r="J154" s="5"/>
      <c r="K154" s="5" t="s">
        <v>2294</v>
      </c>
      <c r="L154" s="5"/>
    </row>
    <row r="155" customFormat="false" ht="23.25" hidden="false" customHeight="true" outlineLevel="0" collapsed="false">
      <c r="A155" s="5" t="s">
        <v>758</v>
      </c>
      <c r="B155" s="5" t="s">
        <v>759</v>
      </c>
      <c r="C155" s="5"/>
      <c r="D155" s="5"/>
      <c r="E155" s="5" t="s">
        <v>44</v>
      </c>
      <c r="F155" s="5"/>
      <c r="G155" s="5"/>
      <c r="H155" s="5"/>
      <c r="I155" s="5"/>
      <c r="J155" s="5"/>
      <c r="K155" s="5" t="s">
        <v>2294</v>
      </c>
      <c r="L155" s="5"/>
    </row>
    <row r="156" customFormat="false" ht="23.25" hidden="false" customHeight="true" outlineLevel="0" collapsed="false">
      <c r="A156" s="5" t="s">
        <v>762</v>
      </c>
      <c r="B156" s="5" t="s">
        <v>763</v>
      </c>
      <c r="C156" s="5"/>
      <c r="D156" s="5"/>
      <c r="E156" s="5" t="s">
        <v>44</v>
      </c>
      <c r="F156" s="5"/>
      <c r="G156" s="5"/>
      <c r="H156" s="5"/>
      <c r="I156" s="5"/>
      <c r="J156" s="5"/>
      <c r="K156" s="5" t="s">
        <v>2294</v>
      </c>
      <c r="L156" s="5"/>
    </row>
    <row r="157" customFormat="false" ht="23.25" hidden="false" customHeight="true" outlineLevel="0" collapsed="false">
      <c r="A157" s="5" t="s">
        <v>767</v>
      </c>
      <c r="B157" s="5" t="s">
        <v>768</v>
      </c>
      <c r="C157" s="5"/>
      <c r="D157" s="5"/>
      <c r="E157" s="5" t="s">
        <v>44</v>
      </c>
      <c r="F157" s="5"/>
      <c r="G157" s="5"/>
      <c r="H157" s="5"/>
      <c r="I157" s="5"/>
      <c r="J157" s="5"/>
      <c r="K157" s="5" t="s">
        <v>2294</v>
      </c>
      <c r="L157" s="5"/>
    </row>
    <row r="158" customFormat="false" ht="23.25" hidden="false" customHeight="true" outlineLevel="0" collapsed="false">
      <c r="A158" s="5" t="s">
        <v>771</v>
      </c>
      <c r="B158" s="5" t="s">
        <v>772</v>
      </c>
      <c r="C158" s="5"/>
      <c r="D158" s="5"/>
      <c r="E158" s="5" t="s">
        <v>44</v>
      </c>
      <c r="F158" s="5"/>
      <c r="G158" s="5"/>
      <c r="H158" s="5"/>
      <c r="I158" s="5"/>
      <c r="J158" s="5"/>
      <c r="K158" s="5" t="s">
        <v>2294</v>
      </c>
      <c r="L158" s="5"/>
    </row>
    <row r="159" customFormat="false" ht="23.25" hidden="false" customHeight="true" outlineLevel="0" collapsed="false">
      <c r="A159" s="5" t="s">
        <v>776</v>
      </c>
      <c r="B159" s="5" t="s">
        <v>777</v>
      </c>
      <c r="C159" s="5"/>
      <c r="D159" s="5"/>
      <c r="E159" s="5" t="s">
        <v>44</v>
      </c>
      <c r="F159" s="5"/>
      <c r="G159" s="5"/>
      <c r="H159" s="5"/>
      <c r="I159" s="5"/>
      <c r="J159" s="5"/>
      <c r="K159" s="5" t="s">
        <v>2294</v>
      </c>
      <c r="L159" s="5"/>
    </row>
    <row r="160" customFormat="false" ht="15" hidden="false" customHeight="true" outlineLevel="0" collapsed="false">
      <c r="A160" s="5" t="s">
        <v>780</v>
      </c>
      <c r="B160" s="5" t="s">
        <v>781</v>
      </c>
      <c r="C160" s="5"/>
      <c r="D160" s="5"/>
      <c r="E160" s="5" t="s">
        <v>44</v>
      </c>
      <c r="F160" s="5"/>
      <c r="G160" s="5"/>
      <c r="H160" s="5"/>
      <c r="I160" s="5"/>
      <c r="J160" s="5"/>
      <c r="K160" s="5" t="s">
        <v>2294</v>
      </c>
      <c r="L160" s="5"/>
    </row>
    <row r="161" customFormat="false" ht="23.25" hidden="false" customHeight="true" outlineLevel="0" collapsed="false">
      <c r="A161" s="5" t="s">
        <v>785</v>
      </c>
      <c r="B161" s="5" t="s">
        <v>786</v>
      </c>
      <c r="C161" s="5"/>
      <c r="D161" s="5"/>
      <c r="E161" s="5" t="s">
        <v>44</v>
      </c>
      <c r="F161" s="5"/>
      <c r="G161" s="5"/>
      <c r="H161" s="5"/>
      <c r="I161" s="5"/>
      <c r="J161" s="5"/>
      <c r="K161" s="5" t="s">
        <v>2294</v>
      </c>
      <c r="L161" s="5"/>
    </row>
    <row r="162" customFormat="false" ht="15" hidden="false" customHeight="true" outlineLevel="0" collapsed="false">
      <c r="A162" s="5" t="s">
        <v>790</v>
      </c>
      <c r="B162" s="5" t="s">
        <v>791</v>
      </c>
      <c r="C162" s="5"/>
      <c r="D162" s="5"/>
      <c r="E162" s="5" t="s">
        <v>44</v>
      </c>
      <c r="F162" s="5"/>
      <c r="G162" s="5"/>
      <c r="H162" s="5"/>
      <c r="I162" s="5"/>
      <c r="J162" s="5"/>
      <c r="K162" s="5" t="s">
        <v>2294</v>
      </c>
      <c r="L162" s="5"/>
    </row>
    <row r="163" customFormat="false" ht="23.25" hidden="false" customHeight="true" outlineLevel="0" collapsed="false">
      <c r="A163" s="5" t="s">
        <v>795</v>
      </c>
      <c r="B163" s="5" t="s">
        <v>796</v>
      </c>
      <c r="C163" s="5"/>
      <c r="D163" s="5"/>
      <c r="E163" s="5" t="s">
        <v>44</v>
      </c>
      <c r="F163" s="5"/>
      <c r="G163" s="5"/>
      <c r="H163" s="5"/>
      <c r="I163" s="5"/>
      <c r="J163" s="5"/>
      <c r="K163" s="5" t="s">
        <v>2294</v>
      </c>
      <c r="L163" s="5"/>
    </row>
    <row r="164" customFormat="false" ht="15" hidden="false" customHeight="true" outlineLevel="0" collapsed="false">
      <c r="A164" s="5" t="s">
        <v>799</v>
      </c>
      <c r="B164" s="5" t="s">
        <v>800</v>
      </c>
      <c r="C164" s="5"/>
      <c r="D164" s="5"/>
      <c r="E164" s="5" t="s">
        <v>42</v>
      </c>
      <c r="F164" s="5"/>
      <c r="G164" s="5"/>
      <c r="H164" s="5"/>
      <c r="I164" s="5"/>
      <c r="J164" s="5"/>
      <c r="K164" s="5" t="s">
        <v>2294</v>
      </c>
      <c r="L164" s="5"/>
    </row>
    <row r="165" customFormat="false" ht="15" hidden="false" customHeight="true" outlineLevel="0" collapsed="false">
      <c r="A165" s="5" t="s">
        <v>805</v>
      </c>
      <c r="B165" s="5" t="s">
        <v>806</v>
      </c>
      <c r="C165" s="5"/>
      <c r="D165" s="5"/>
      <c r="E165" s="5" t="s">
        <v>44</v>
      </c>
      <c r="F165" s="5"/>
      <c r="G165" s="5"/>
      <c r="H165" s="5"/>
      <c r="I165" s="5"/>
      <c r="J165" s="5"/>
      <c r="K165" s="5" t="s">
        <v>2294</v>
      </c>
      <c r="L165" s="5"/>
    </row>
    <row r="166" customFormat="false" ht="15" hidden="false" customHeight="true" outlineLevel="0" collapsed="false">
      <c r="A166" s="5" t="s">
        <v>810</v>
      </c>
      <c r="B166" s="5" t="s">
        <v>811</v>
      </c>
      <c r="C166" s="5"/>
      <c r="D166" s="5"/>
      <c r="E166" s="5" t="s">
        <v>42</v>
      </c>
      <c r="F166" s="5"/>
      <c r="G166" s="5"/>
      <c r="H166" s="5"/>
      <c r="I166" s="5"/>
      <c r="J166" s="5"/>
      <c r="K166" s="5" t="s">
        <v>2294</v>
      </c>
      <c r="L166" s="5"/>
    </row>
    <row r="167" customFormat="false" ht="23.25" hidden="false" customHeight="true" outlineLevel="0" collapsed="false">
      <c r="A167" s="5" t="s">
        <v>814</v>
      </c>
      <c r="B167" s="5" t="s">
        <v>815</v>
      </c>
      <c r="C167" s="5"/>
      <c r="D167" s="5"/>
      <c r="E167" s="5" t="s">
        <v>44</v>
      </c>
      <c r="F167" s="5"/>
      <c r="G167" s="5"/>
      <c r="H167" s="5"/>
      <c r="I167" s="5"/>
      <c r="J167" s="5"/>
      <c r="K167" s="5" t="s">
        <v>2294</v>
      </c>
      <c r="L167" s="5"/>
    </row>
    <row r="168" customFormat="false" ht="23.25" hidden="false" customHeight="true" outlineLevel="0" collapsed="false">
      <c r="A168" s="5" t="s">
        <v>819</v>
      </c>
      <c r="B168" s="5" t="s">
        <v>820</v>
      </c>
      <c r="C168" s="5"/>
      <c r="D168" s="5"/>
      <c r="E168" s="5" t="s">
        <v>44</v>
      </c>
      <c r="F168" s="5"/>
      <c r="G168" s="5"/>
      <c r="H168" s="5"/>
      <c r="I168" s="5"/>
      <c r="J168" s="5"/>
      <c r="K168" s="5" t="s">
        <v>2294</v>
      </c>
      <c r="L168" s="5"/>
    </row>
    <row r="169" customFormat="false" ht="15" hidden="false" customHeight="true" outlineLevel="0" collapsed="false">
      <c r="A169" s="5" t="s">
        <v>825</v>
      </c>
      <c r="B169" s="5" t="s">
        <v>826</v>
      </c>
      <c r="C169" s="5"/>
      <c r="D169" s="5"/>
      <c r="E169" s="5" t="s">
        <v>44</v>
      </c>
      <c r="F169" s="5"/>
      <c r="G169" s="5"/>
      <c r="H169" s="5"/>
      <c r="I169" s="5"/>
      <c r="J169" s="5"/>
      <c r="K169" s="5" t="s">
        <v>2294</v>
      </c>
      <c r="L169" s="5"/>
    </row>
    <row r="170" customFormat="false" ht="23.25" hidden="false" customHeight="true" outlineLevel="0" collapsed="false">
      <c r="A170" s="5" t="s">
        <v>830</v>
      </c>
      <c r="B170" s="5" t="s">
        <v>831</v>
      </c>
      <c r="C170" s="5"/>
      <c r="D170" s="5"/>
      <c r="E170" s="5" t="s">
        <v>44</v>
      </c>
      <c r="F170" s="5"/>
      <c r="G170" s="5"/>
      <c r="H170" s="5"/>
      <c r="I170" s="5"/>
      <c r="J170" s="5"/>
      <c r="K170" s="5" t="s">
        <v>2294</v>
      </c>
      <c r="L170" s="5"/>
    </row>
    <row r="171" customFormat="false" ht="15" hidden="false" customHeight="true" outlineLevel="0" collapsed="false">
      <c r="A171" s="5" t="s">
        <v>835</v>
      </c>
      <c r="B171" s="5" t="s">
        <v>836</v>
      </c>
      <c r="C171" s="5"/>
      <c r="D171" s="5"/>
      <c r="E171" s="5" t="s">
        <v>44</v>
      </c>
      <c r="F171" s="5"/>
      <c r="G171" s="5"/>
      <c r="H171" s="5"/>
      <c r="I171" s="5"/>
      <c r="J171" s="5"/>
      <c r="K171" s="5" t="s">
        <v>2294</v>
      </c>
      <c r="L171" s="5"/>
    </row>
    <row r="172" customFormat="false" ht="23.25" hidden="false" customHeight="true" outlineLevel="0" collapsed="false">
      <c r="A172" s="5" t="s">
        <v>839</v>
      </c>
      <c r="B172" s="5" t="s">
        <v>840</v>
      </c>
      <c r="C172" s="5"/>
      <c r="D172" s="5"/>
      <c r="E172" s="5" t="s">
        <v>44</v>
      </c>
      <c r="F172" s="5"/>
      <c r="G172" s="5"/>
      <c r="H172" s="5"/>
      <c r="I172" s="5"/>
      <c r="J172" s="5"/>
      <c r="K172" s="5" t="s">
        <v>2294</v>
      </c>
      <c r="L172" s="5"/>
    </row>
    <row r="173" customFormat="false" ht="15" hidden="false" customHeight="true" outlineLevel="0" collapsed="false">
      <c r="A173" s="5" t="s">
        <v>843</v>
      </c>
      <c r="B173" s="5" t="s">
        <v>844</v>
      </c>
      <c r="C173" s="5"/>
      <c r="D173" s="5"/>
      <c r="E173" s="5" t="s">
        <v>42</v>
      </c>
      <c r="F173" s="5"/>
      <c r="G173" s="5"/>
      <c r="H173" s="5"/>
      <c r="I173" s="5"/>
      <c r="J173" s="5"/>
      <c r="K173" s="5" t="s">
        <v>2294</v>
      </c>
      <c r="L173" s="5"/>
    </row>
    <row r="174" customFormat="false" ht="23.25" hidden="false" customHeight="true" outlineLevel="0" collapsed="false">
      <c r="A174" s="5" t="s">
        <v>847</v>
      </c>
      <c r="B174" s="5" t="s">
        <v>848</v>
      </c>
      <c r="C174" s="5"/>
      <c r="D174" s="5"/>
      <c r="E174" s="5" t="s">
        <v>44</v>
      </c>
      <c r="F174" s="5"/>
      <c r="G174" s="5"/>
      <c r="H174" s="5"/>
      <c r="I174" s="5"/>
      <c r="J174" s="5"/>
      <c r="K174" s="5" t="s">
        <v>2294</v>
      </c>
      <c r="L174" s="5"/>
    </row>
    <row r="175" customFormat="false" ht="15" hidden="false" customHeight="true" outlineLevel="0" collapsed="false">
      <c r="A175" s="5" t="s">
        <v>851</v>
      </c>
      <c r="B175" s="5" t="s">
        <v>852</v>
      </c>
      <c r="C175" s="5"/>
      <c r="D175" s="5"/>
      <c r="E175" s="5" t="s">
        <v>44</v>
      </c>
      <c r="F175" s="5"/>
      <c r="G175" s="5"/>
      <c r="H175" s="5"/>
      <c r="I175" s="5"/>
      <c r="J175" s="5"/>
      <c r="K175" s="5" t="s">
        <v>2294</v>
      </c>
      <c r="L175" s="5"/>
    </row>
    <row r="176" customFormat="false" ht="23.25" hidden="false" customHeight="true" outlineLevel="0" collapsed="false">
      <c r="A176" s="5" t="s">
        <v>856</v>
      </c>
      <c r="B176" s="5" t="s">
        <v>857</v>
      </c>
      <c r="C176" s="5"/>
      <c r="D176" s="5"/>
      <c r="E176" s="5" t="s">
        <v>44</v>
      </c>
      <c r="F176" s="5"/>
      <c r="G176" s="5"/>
      <c r="H176" s="5"/>
      <c r="I176" s="5"/>
      <c r="J176" s="5"/>
      <c r="K176" s="5" t="s">
        <v>2294</v>
      </c>
      <c r="L176" s="5"/>
    </row>
    <row r="177" customFormat="false" ht="23.25" hidden="false" customHeight="true" outlineLevel="0" collapsed="false">
      <c r="A177" s="5" t="s">
        <v>861</v>
      </c>
      <c r="B177" s="5" t="s">
        <v>862</v>
      </c>
      <c r="C177" s="5"/>
      <c r="D177" s="5"/>
      <c r="E177" s="5" t="s">
        <v>44</v>
      </c>
      <c r="F177" s="5"/>
      <c r="G177" s="5"/>
      <c r="H177" s="5"/>
      <c r="I177" s="5"/>
      <c r="J177" s="5"/>
      <c r="K177" s="5" t="s">
        <v>2294</v>
      </c>
      <c r="L177" s="5"/>
    </row>
    <row r="178" customFormat="false" ht="23.25" hidden="false" customHeight="true" outlineLevel="0" collapsed="false">
      <c r="A178" s="5" t="s">
        <v>865</v>
      </c>
      <c r="B178" s="5" t="s">
        <v>866</v>
      </c>
      <c r="C178" s="5"/>
      <c r="D178" s="5"/>
      <c r="E178" s="5" t="s">
        <v>44</v>
      </c>
      <c r="F178" s="5"/>
      <c r="G178" s="5"/>
      <c r="H178" s="5"/>
      <c r="I178" s="5"/>
      <c r="J178" s="5"/>
      <c r="K178" s="5" t="s">
        <v>2294</v>
      </c>
      <c r="L178" s="5"/>
    </row>
    <row r="179" customFormat="false" ht="23.25" hidden="false" customHeight="true" outlineLevel="0" collapsed="false">
      <c r="A179" s="5" t="s">
        <v>869</v>
      </c>
      <c r="B179" s="5" t="s">
        <v>870</v>
      </c>
      <c r="C179" s="5"/>
      <c r="D179" s="5"/>
      <c r="E179" s="5" t="s">
        <v>44</v>
      </c>
      <c r="F179" s="5"/>
      <c r="G179" s="5"/>
      <c r="H179" s="5"/>
      <c r="I179" s="5"/>
      <c r="J179" s="5"/>
      <c r="K179" s="5" t="s">
        <v>2294</v>
      </c>
      <c r="L179" s="5"/>
    </row>
    <row r="180" customFormat="false" ht="23.25" hidden="false" customHeight="true" outlineLevel="0" collapsed="false">
      <c r="A180" s="5" t="s">
        <v>873</v>
      </c>
      <c r="B180" s="5" t="s">
        <v>874</v>
      </c>
      <c r="C180" s="5"/>
      <c r="D180" s="5"/>
      <c r="E180" s="5" t="s">
        <v>44</v>
      </c>
      <c r="F180" s="5"/>
      <c r="G180" s="5"/>
      <c r="H180" s="5"/>
      <c r="I180" s="5"/>
      <c r="J180" s="5"/>
      <c r="K180" s="5" t="s">
        <v>2294</v>
      </c>
      <c r="L180" s="5"/>
    </row>
    <row r="181" customFormat="false" ht="15" hidden="false" customHeight="true" outlineLevel="0" collapsed="false">
      <c r="A181" s="5" t="s">
        <v>877</v>
      </c>
      <c r="B181" s="5" t="s">
        <v>878</v>
      </c>
      <c r="C181" s="5"/>
      <c r="D181" s="5"/>
      <c r="E181" s="5" t="s">
        <v>44</v>
      </c>
      <c r="F181" s="5"/>
      <c r="G181" s="5"/>
      <c r="H181" s="5"/>
      <c r="I181" s="5"/>
      <c r="J181" s="5"/>
      <c r="K181" s="5" t="s">
        <v>2294</v>
      </c>
      <c r="L181" s="5"/>
    </row>
    <row r="182" customFormat="false" ht="15" hidden="false" customHeight="true" outlineLevel="0" collapsed="false">
      <c r="A182" s="5" t="s">
        <v>881</v>
      </c>
      <c r="B182" s="5" t="s">
        <v>882</v>
      </c>
      <c r="C182" s="5"/>
      <c r="D182" s="5"/>
      <c r="E182" s="5" t="s">
        <v>44</v>
      </c>
      <c r="F182" s="5"/>
      <c r="G182" s="5"/>
      <c r="H182" s="5"/>
      <c r="I182" s="5"/>
      <c r="J182" s="5"/>
      <c r="K182" s="5" t="s">
        <v>2294</v>
      </c>
      <c r="L182" s="5"/>
    </row>
    <row r="183" customFormat="false" ht="23.25" hidden="false" customHeight="true" outlineLevel="0" collapsed="false">
      <c r="A183" s="5" t="s">
        <v>885</v>
      </c>
      <c r="B183" s="5" t="s">
        <v>886</v>
      </c>
      <c r="C183" s="5"/>
      <c r="D183" s="5"/>
      <c r="E183" s="5" t="s">
        <v>44</v>
      </c>
      <c r="F183" s="5"/>
      <c r="G183" s="5"/>
      <c r="H183" s="5"/>
      <c r="I183" s="5"/>
      <c r="J183" s="5"/>
      <c r="K183" s="5" t="s">
        <v>2294</v>
      </c>
      <c r="L183" s="5"/>
    </row>
    <row r="184" customFormat="false" ht="15" hidden="false" customHeight="true" outlineLevel="0" collapsed="false">
      <c r="A184" s="5" t="s">
        <v>887</v>
      </c>
      <c r="B184" s="5" t="s">
        <v>888</v>
      </c>
      <c r="C184" s="5"/>
      <c r="D184" s="5"/>
      <c r="E184" s="5" t="s">
        <v>44</v>
      </c>
      <c r="F184" s="5"/>
      <c r="G184" s="5"/>
      <c r="H184" s="5"/>
      <c r="I184" s="5"/>
      <c r="J184" s="5"/>
      <c r="K184" s="5" t="s">
        <v>2294</v>
      </c>
      <c r="L184" s="5"/>
    </row>
    <row r="185" customFormat="false" ht="15" hidden="false" customHeight="true" outlineLevel="0" collapsed="false">
      <c r="A185" s="5" t="s">
        <v>891</v>
      </c>
      <c r="B185" s="5" t="s">
        <v>892</v>
      </c>
      <c r="C185" s="5"/>
      <c r="D185" s="5"/>
      <c r="E185" s="5" t="s">
        <v>44</v>
      </c>
      <c r="F185" s="5"/>
      <c r="G185" s="5"/>
      <c r="H185" s="5"/>
      <c r="I185" s="5"/>
      <c r="J185" s="5"/>
      <c r="K185" s="5" t="s">
        <v>2294</v>
      </c>
      <c r="L185" s="5"/>
    </row>
    <row r="186" customFormat="false" ht="23.25" hidden="false" customHeight="true" outlineLevel="0" collapsed="false">
      <c r="A186" s="5" t="s">
        <v>895</v>
      </c>
      <c r="B186" s="5" t="s">
        <v>896</v>
      </c>
      <c r="C186" s="5"/>
      <c r="D186" s="5"/>
      <c r="E186" s="5" t="s">
        <v>44</v>
      </c>
      <c r="F186" s="5"/>
      <c r="G186" s="5"/>
      <c r="H186" s="5"/>
      <c r="I186" s="5"/>
      <c r="J186" s="5"/>
      <c r="K186" s="5" t="s">
        <v>2294</v>
      </c>
      <c r="L186" s="5"/>
    </row>
    <row r="187" customFormat="false" ht="23.25" hidden="false" customHeight="true" outlineLevel="0" collapsed="false">
      <c r="A187" s="5" t="s">
        <v>899</v>
      </c>
      <c r="B187" s="5" t="s">
        <v>900</v>
      </c>
      <c r="C187" s="5"/>
      <c r="D187" s="5"/>
      <c r="E187" s="5" t="s">
        <v>44</v>
      </c>
      <c r="F187" s="5"/>
      <c r="G187" s="5"/>
      <c r="H187" s="5"/>
      <c r="I187" s="5"/>
      <c r="J187" s="5"/>
      <c r="K187" s="5" t="s">
        <v>2294</v>
      </c>
      <c r="L187" s="5"/>
    </row>
    <row r="188" customFormat="false" ht="23.25" hidden="false" customHeight="true" outlineLevel="0" collapsed="false">
      <c r="A188" s="5" t="s">
        <v>903</v>
      </c>
      <c r="B188" s="5" t="s">
        <v>904</v>
      </c>
      <c r="C188" s="5"/>
      <c r="D188" s="5"/>
      <c r="E188" s="5" t="s">
        <v>44</v>
      </c>
      <c r="F188" s="5"/>
      <c r="G188" s="5"/>
      <c r="H188" s="5"/>
      <c r="I188" s="5"/>
      <c r="J188" s="5"/>
      <c r="K188" s="5" t="s">
        <v>2294</v>
      </c>
      <c r="L188" s="5"/>
    </row>
    <row r="189" customFormat="false" ht="23.25" hidden="false" customHeight="true" outlineLevel="0" collapsed="false">
      <c r="A189" s="5" t="s">
        <v>907</v>
      </c>
      <c r="B189" s="5" t="s">
        <v>908</v>
      </c>
      <c r="C189" s="5"/>
      <c r="D189" s="5"/>
      <c r="E189" s="5" t="s">
        <v>44</v>
      </c>
      <c r="F189" s="5"/>
      <c r="G189" s="5"/>
      <c r="H189" s="5"/>
      <c r="I189" s="5"/>
      <c r="J189" s="5"/>
      <c r="K189" s="5" t="s">
        <v>2294</v>
      </c>
      <c r="L189" s="5"/>
    </row>
    <row r="190" customFormat="false" ht="34.5" hidden="false" customHeight="true" outlineLevel="0" collapsed="false">
      <c r="A190" s="5" t="s">
        <v>911</v>
      </c>
      <c r="B190" s="5" t="s">
        <v>912</v>
      </c>
      <c r="C190" s="5"/>
      <c r="D190" s="5"/>
      <c r="E190" s="5" t="s">
        <v>42</v>
      </c>
      <c r="F190" s="5"/>
      <c r="G190" s="5"/>
      <c r="H190" s="5"/>
      <c r="I190" s="5"/>
      <c r="J190" s="5"/>
      <c r="K190" s="5" t="s">
        <v>2294</v>
      </c>
      <c r="L190" s="5"/>
    </row>
    <row r="191" customFormat="false" ht="23.25" hidden="false" customHeight="true" outlineLevel="0" collapsed="false">
      <c r="A191" s="5" t="s">
        <v>915</v>
      </c>
      <c r="B191" s="5" t="s">
        <v>916</v>
      </c>
      <c r="C191" s="5"/>
      <c r="D191" s="5"/>
      <c r="E191" s="5" t="s">
        <v>44</v>
      </c>
      <c r="F191" s="5"/>
      <c r="G191" s="5"/>
      <c r="H191" s="5"/>
      <c r="I191" s="5"/>
      <c r="J191" s="5"/>
      <c r="K191" s="5" t="s">
        <v>2294</v>
      </c>
      <c r="L191" s="5"/>
    </row>
    <row r="192" customFormat="false" ht="15" hidden="false" customHeight="true" outlineLevel="0" collapsed="false">
      <c r="A192" s="5" t="s">
        <v>917</v>
      </c>
      <c r="B192" s="5" t="s">
        <v>918</v>
      </c>
      <c r="C192" s="5"/>
      <c r="D192" s="5"/>
      <c r="E192" s="5" t="s">
        <v>44</v>
      </c>
      <c r="F192" s="5"/>
      <c r="G192" s="5"/>
      <c r="H192" s="5"/>
      <c r="I192" s="5"/>
      <c r="J192" s="5"/>
      <c r="K192" s="5" t="s">
        <v>2294</v>
      </c>
      <c r="L192" s="5"/>
    </row>
    <row r="193" customFormat="false" ht="23.25" hidden="false" customHeight="true" outlineLevel="0" collapsed="false">
      <c r="A193" s="5" t="s">
        <v>922</v>
      </c>
      <c r="B193" s="5" t="s">
        <v>923</v>
      </c>
      <c r="C193" s="5"/>
      <c r="D193" s="5"/>
      <c r="E193" s="5" t="s">
        <v>42</v>
      </c>
      <c r="F193" s="5"/>
      <c r="G193" s="5"/>
      <c r="H193" s="5"/>
      <c r="I193" s="5"/>
      <c r="J193" s="5"/>
      <c r="K193" s="5" t="s">
        <v>2294</v>
      </c>
      <c r="L193" s="5"/>
    </row>
    <row r="194" customFormat="false" ht="23.25" hidden="false" customHeight="true" outlineLevel="0" collapsed="false">
      <c r="A194" s="5" t="s">
        <v>926</v>
      </c>
      <c r="B194" s="5" t="s">
        <v>927</v>
      </c>
      <c r="C194" s="5"/>
      <c r="D194" s="5"/>
      <c r="E194" s="5" t="s">
        <v>42</v>
      </c>
      <c r="F194" s="5"/>
      <c r="G194" s="5"/>
      <c r="H194" s="5"/>
      <c r="I194" s="5"/>
      <c r="J194" s="5"/>
      <c r="K194" s="5" t="s">
        <v>2294</v>
      </c>
      <c r="L194" s="5"/>
    </row>
    <row r="195" customFormat="false" ht="15" hidden="false" customHeight="true" outlineLevel="0" collapsed="false">
      <c r="A195" s="5" t="s">
        <v>930</v>
      </c>
      <c r="B195" s="5" t="s">
        <v>931</v>
      </c>
      <c r="C195" s="5"/>
      <c r="D195" s="5"/>
      <c r="E195" s="5" t="s">
        <v>44</v>
      </c>
      <c r="F195" s="5"/>
      <c r="G195" s="5"/>
      <c r="H195" s="5"/>
      <c r="I195" s="5"/>
      <c r="J195" s="5"/>
      <c r="K195" s="5" t="s">
        <v>2294</v>
      </c>
      <c r="L195" s="5"/>
    </row>
    <row r="196" customFormat="false" ht="23.25" hidden="false" customHeight="true" outlineLevel="0" collapsed="false">
      <c r="A196" s="5" t="s">
        <v>934</v>
      </c>
      <c r="B196" s="5" t="s">
        <v>935</v>
      </c>
      <c r="C196" s="5"/>
      <c r="D196" s="5"/>
      <c r="E196" s="5" t="s">
        <v>42</v>
      </c>
      <c r="F196" s="5"/>
      <c r="G196" s="5"/>
      <c r="H196" s="5"/>
      <c r="I196" s="5"/>
      <c r="J196" s="5"/>
      <c r="K196" s="5" t="s">
        <v>2294</v>
      </c>
      <c r="L196" s="5"/>
    </row>
    <row r="197" customFormat="false" ht="23.25" hidden="false" customHeight="true" outlineLevel="0" collapsed="false">
      <c r="A197" s="5" t="s">
        <v>936</v>
      </c>
      <c r="B197" s="5" t="s">
        <v>937</v>
      </c>
      <c r="C197" s="5"/>
      <c r="D197" s="5"/>
      <c r="E197" s="5" t="s">
        <v>44</v>
      </c>
      <c r="F197" s="5"/>
      <c r="G197" s="5"/>
      <c r="H197" s="5"/>
      <c r="I197" s="5"/>
      <c r="J197" s="5"/>
      <c r="K197" s="5" t="s">
        <v>2294</v>
      </c>
      <c r="L197" s="5"/>
    </row>
    <row r="198" customFormat="false" ht="15" hidden="false" customHeight="true" outlineLevel="0" collapsed="false">
      <c r="A198" s="5" t="s">
        <v>940</v>
      </c>
      <c r="B198" s="5" t="s">
        <v>941</v>
      </c>
      <c r="C198" s="5"/>
      <c r="D198" s="5"/>
      <c r="E198" s="5" t="s">
        <v>44</v>
      </c>
      <c r="F198" s="5"/>
      <c r="G198" s="5"/>
      <c r="H198" s="5"/>
      <c r="I198" s="5"/>
      <c r="J198" s="5"/>
      <c r="K198" s="5" t="s">
        <v>2294</v>
      </c>
      <c r="L198" s="5"/>
    </row>
    <row r="199" customFormat="false" ht="23.25" hidden="false" customHeight="true" outlineLevel="0" collapsed="false">
      <c r="A199" s="5" t="s">
        <v>944</v>
      </c>
      <c r="B199" s="5" t="s">
        <v>945</v>
      </c>
      <c r="C199" s="5"/>
      <c r="D199" s="5"/>
      <c r="E199" s="5" t="s">
        <v>42</v>
      </c>
      <c r="F199" s="5"/>
      <c r="G199" s="5"/>
      <c r="H199" s="5"/>
      <c r="I199" s="5"/>
      <c r="J199" s="5"/>
      <c r="K199" s="5" t="s">
        <v>2294</v>
      </c>
      <c r="L199" s="5"/>
    </row>
    <row r="200" customFormat="false" ht="15" hidden="false" customHeight="true" outlineLevel="0" collapsed="false">
      <c r="A200" s="5" t="s">
        <v>948</v>
      </c>
      <c r="B200" s="5" t="s">
        <v>949</v>
      </c>
      <c r="C200" s="5"/>
      <c r="D200" s="5"/>
      <c r="E200" s="5" t="s">
        <v>44</v>
      </c>
      <c r="F200" s="5"/>
      <c r="G200" s="5"/>
      <c r="H200" s="5"/>
      <c r="I200" s="5"/>
      <c r="J200" s="5"/>
      <c r="K200" s="5" t="s">
        <v>2294</v>
      </c>
      <c r="L200" s="5"/>
    </row>
    <row r="201" customFormat="false" ht="15" hidden="false" customHeight="true" outlineLevel="0" collapsed="false">
      <c r="A201" s="5" t="s">
        <v>952</v>
      </c>
      <c r="B201" s="5" t="s">
        <v>953</v>
      </c>
      <c r="C201" s="5"/>
      <c r="D201" s="5"/>
      <c r="E201" s="5" t="s">
        <v>44</v>
      </c>
      <c r="F201" s="5"/>
      <c r="G201" s="5"/>
      <c r="H201" s="5"/>
      <c r="I201" s="5"/>
      <c r="J201" s="5"/>
      <c r="K201" s="5" t="s">
        <v>2294</v>
      </c>
      <c r="L201" s="5"/>
    </row>
    <row r="202" customFormat="false" ht="15" hidden="false" customHeight="true" outlineLevel="0" collapsed="false">
      <c r="A202" s="5" t="s">
        <v>957</v>
      </c>
      <c r="B202" s="5" t="s">
        <v>958</v>
      </c>
      <c r="C202" s="5"/>
      <c r="D202" s="5"/>
      <c r="E202" s="5" t="s">
        <v>44</v>
      </c>
      <c r="F202" s="5"/>
      <c r="G202" s="5"/>
      <c r="H202" s="5"/>
      <c r="I202" s="5"/>
      <c r="J202" s="5"/>
      <c r="K202" s="5" t="s">
        <v>2294</v>
      </c>
      <c r="L202" s="5"/>
    </row>
    <row r="203" customFormat="false" ht="23.25" hidden="false" customHeight="true" outlineLevel="0" collapsed="false">
      <c r="A203" s="5" t="s">
        <v>961</v>
      </c>
      <c r="B203" s="5" t="s">
        <v>962</v>
      </c>
      <c r="C203" s="5"/>
      <c r="D203" s="5"/>
      <c r="E203" s="5" t="s">
        <v>42</v>
      </c>
      <c r="F203" s="5"/>
      <c r="G203" s="5"/>
      <c r="H203" s="5"/>
      <c r="I203" s="5"/>
      <c r="J203" s="5"/>
      <c r="K203" s="5" t="s">
        <v>2294</v>
      </c>
      <c r="L203" s="5"/>
    </row>
    <row r="204" customFormat="false" ht="15" hidden="false" customHeight="true" outlineLevel="0" collapsed="false">
      <c r="A204" s="5" t="s">
        <v>965</v>
      </c>
      <c r="B204" s="5" t="s">
        <v>966</v>
      </c>
      <c r="C204" s="5"/>
      <c r="D204" s="5"/>
      <c r="E204" s="5" t="s">
        <v>44</v>
      </c>
      <c r="F204" s="5"/>
      <c r="G204" s="5"/>
      <c r="H204" s="5"/>
      <c r="I204" s="5"/>
      <c r="J204" s="5"/>
      <c r="K204" s="5" t="s">
        <v>2294</v>
      </c>
      <c r="L204" s="5"/>
    </row>
    <row r="205" customFormat="false" ht="15" hidden="false" customHeight="true" outlineLevel="0" collapsed="false">
      <c r="A205" s="5" t="s">
        <v>969</v>
      </c>
      <c r="B205" s="5" t="s">
        <v>970</v>
      </c>
      <c r="C205" s="5"/>
      <c r="D205" s="5"/>
      <c r="E205" s="5" t="s">
        <v>44</v>
      </c>
      <c r="F205" s="5"/>
      <c r="G205" s="5"/>
      <c r="H205" s="5"/>
      <c r="I205" s="5"/>
      <c r="J205" s="5"/>
      <c r="K205" s="5" t="s">
        <v>2294</v>
      </c>
      <c r="L205" s="5"/>
    </row>
    <row r="206" customFormat="false" ht="23.25" hidden="false" customHeight="true" outlineLevel="0" collapsed="false">
      <c r="A206" s="5" t="s">
        <v>974</v>
      </c>
      <c r="B206" s="5" t="s">
        <v>975</v>
      </c>
      <c r="C206" s="5"/>
      <c r="D206" s="5"/>
      <c r="E206" s="5" t="s">
        <v>42</v>
      </c>
      <c r="F206" s="5"/>
      <c r="G206" s="5"/>
      <c r="H206" s="5"/>
      <c r="I206" s="5"/>
      <c r="J206" s="5"/>
      <c r="K206" s="5" t="s">
        <v>2294</v>
      </c>
      <c r="L206" s="5"/>
    </row>
    <row r="207" customFormat="false" ht="15" hidden="false" customHeight="true" outlineLevel="0" collapsed="false">
      <c r="A207" s="5" t="s">
        <v>978</v>
      </c>
      <c r="B207" s="5" t="s">
        <v>979</v>
      </c>
      <c r="C207" s="5"/>
      <c r="D207" s="5"/>
      <c r="E207" s="5" t="s">
        <v>42</v>
      </c>
      <c r="F207" s="5"/>
      <c r="G207" s="5"/>
      <c r="H207" s="5"/>
      <c r="I207" s="5"/>
      <c r="J207" s="5"/>
      <c r="K207" s="5" t="s">
        <v>2294</v>
      </c>
      <c r="L207" s="5"/>
    </row>
    <row r="208" customFormat="false" ht="23.25" hidden="false" customHeight="true" outlineLevel="0" collapsed="false">
      <c r="A208" s="5" t="s">
        <v>982</v>
      </c>
      <c r="B208" s="5" t="s">
        <v>983</v>
      </c>
      <c r="C208" s="5"/>
      <c r="D208" s="5"/>
      <c r="E208" s="5" t="s">
        <v>42</v>
      </c>
      <c r="F208" s="5"/>
      <c r="G208" s="5"/>
      <c r="H208" s="5"/>
      <c r="I208" s="5"/>
      <c r="J208" s="5"/>
      <c r="K208" s="5" t="s">
        <v>2294</v>
      </c>
      <c r="L208" s="5"/>
    </row>
    <row r="209" customFormat="false" ht="23.25" hidden="false" customHeight="true" outlineLevel="0" collapsed="false">
      <c r="A209" s="5" t="s">
        <v>986</v>
      </c>
      <c r="B209" s="5" t="s">
        <v>987</v>
      </c>
      <c r="C209" s="5"/>
      <c r="D209" s="5"/>
      <c r="E209" s="5" t="s">
        <v>42</v>
      </c>
      <c r="F209" s="5"/>
      <c r="G209" s="5"/>
      <c r="H209" s="5"/>
      <c r="I209" s="5"/>
      <c r="J209" s="5"/>
      <c r="K209" s="5" t="s">
        <v>2294</v>
      </c>
      <c r="L209" s="5"/>
    </row>
    <row r="210" customFormat="false" ht="15" hidden="false" customHeight="true" outlineLevel="0" collapsed="false">
      <c r="A210" s="5" t="s">
        <v>991</v>
      </c>
      <c r="B210" s="5" t="s">
        <v>992</v>
      </c>
      <c r="C210" s="5"/>
      <c r="D210" s="5"/>
      <c r="E210" s="5" t="s">
        <v>42</v>
      </c>
      <c r="F210" s="5"/>
      <c r="G210" s="5"/>
      <c r="H210" s="5"/>
      <c r="I210" s="5"/>
      <c r="J210" s="5"/>
      <c r="K210" s="5" t="s">
        <v>2294</v>
      </c>
      <c r="L210" s="5"/>
    </row>
    <row r="211" customFormat="false" ht="15" hidden="false" customHeight="true" outlineLevel="0" collapsed="false">
      <c r="A211" s="5" t="s">
        <v>995</v>
      </c>
      <c r="B211" s="5" t="s">
        <v>996</v>
      </c>
      <c r="C211" s="5"/>
      <c r="D211" s="5"/>
      <c r="E211" s="5" t="s">
        <v>42</v>
      </c>
      <c r="F211" s="5"/>
      <c r="G211" s="5"/>
      <c r="H211" s="5"/>
      <c r="I211" s="5"/>
      <c r="J211" s="5"/>
      <c r="K211" s="5" t="s">
        <v>2294</v>
      </c>
      <c r="L211" s="5"/>
    </row>
    <row r="212" customFormat="false" ht="23.25" hidden="false" customHeight="true" outlineLevel="0" collapsed="false">
      <c r="A212" s="5" t="s">
        <v>999</v>
      </c>
      <c r="B212" s="5" t="s">
        <v>1000</v>
      </c>
      <c r="C212" s="5"/>
      <c r="D212" s="5"/>
      <c r="E212" s="5" t="s">
        <v>42</v>
      </c>
      <c r="F212" s="5"/>
      <c r="G212" s="5"/>
      <c r="H212" s="5"/>
      <c r="I212" s="5"/>
      <c r="J212" s="5"/>
      <c r="K212" s="5" t="s">
        <v>2294</v>
      </c>
      <c r="L212" s="5"/>
    </row>
    <row r="213" customFormat="false" ht="23.25" hidden="false" customHeight="true" outlineLevel="0" collapsed="false">
      <c r="A213" s="5" t="s">
        <v>1003</v>
      </c>
      <c r="B213" s="5" t="s">
        <v>1004</v>
      </c>
      <c r="C213" s="5"/>
      <c r="D213" s="5"/>
      <c r="E213" s="5" t="s">
        <v>42</v>
      </c>
      <c r="F213" s="5"/>
      <c r="G213" s="5"/>
      <c r="H213" s="5"/>
      <c r="I213" s="5"/>
      <c r="J213" s="5"/>
      <c r="K213" s="5" t="s">
        <v>2294</v>
      </c>
      <c r="L213" s="5"/>
    </row>
    <row r="214" customFormat="false" ht="15" hidden="false" customHeight="true" outlineLevel="0" collapsed="false">
      <c r="A214" s="5" t="s">
        <v>1008</v>
      </c>
      <c r="B214" s="5" t="s">
        <v>1009</v>
      </c>
      <c r="C214" s="5"/>
      <c r="D214" s="5"/>
      <c r="E214" s="5" t="s">
        <v>42</v>
      </c>
      <c r="F214" s="5"/>
      <c r="G214" s="5"/>
      <c r="H214" s="5"/>
      <c r="I214" s="5"/>
      <c r="J214" s="5"/>
      <c r="K214" s="5" t="s">
        <v>2294</v>
      </c>
      <c r="L214" s="5"/>
    </row>
    <row r="215" customFormat="false" ht="23.25" hidden="false" customHeight="true" outlineLevel="0" collapsed="false">
      <c r="A215" s="5" t="s">
        <v>1012</v>
      </c>
      <c r="B215" s="5" t="s">
        <v>1013</v>
      </c>
      <c r="C215" s="5"/>
      <c r="D215" s="5"/>
      <c r="E215" s="5" t="s">
        <v>42</v>
      </c>
      <c r="F215" s="5"/>
      <c r="G215" s="5"/>
      <c r="H215" s="5"/>
      <c r="I215" s="5"/>
      <c r="J215" s="5"/>
      <c r="K215" s="5" t="s">
        <v>2294</v>
      </c>
      <c r="L215" s="5"/>
    </row>
    <row r="216" customFormat="false" ht="15" hidden="false" customHeight="true" outlineLevel="0" collapsed="false">
      <c r="A216" s="5" t="s">
        <v>1016</v>
      </c>
      <c r="B216" s="5" t="s">
        <v>1017</v>
      </c>
      <c r="C216" s="5"/>
      <c r="D216" s="5"/>
      <c r="E216" s="5" t="s">
        <v>42</v>
      </c>
      <c r="F216" s="5"/>
      <c r="G216" s="5"/>
      <c r="H216" s="5"/>
      <c r="I216" s="5"/>
      <c r="J216" s="5"/>
      <c r="K216" s="5" t="s">
        <v>2294</v>
      </c>
      <c r="L216" s="5"/>
    </row>
    <row r="217" customFormat="false" ht="23.25" hidden="false" customHeight="true" outlineLevel="0" collapsed="false">
      <c r="A217" s="5" t="s">
        <v>1020</v>
      </c>
      <c r="B217" s="5" t="s">
        <v>1021</v>
      </c>
      <c r="C217" s="5"/>
      <c r="D217" s="5"/>
      <c r="E217" s="5" t="s">
        <v>42</v>
      </c>
      <c r="F217" s="5"/>
      <c r="G217" s="5"/>
      <c r="H217" s="5"/>
      <c r="I217" s="5"/>
      <c r="J217" s="5"/>
      <c r="K217" s="5" t="s">
        <v>2294</v>
      </c>
      <c r="L217" s="5"/>
    </row>
    <row r="218" customFormat="false" ht="15" hidden="false" customHeight="true" outlineLevel="0" collapsed="false">
      <c r="A218" s="5" t="s">
        <v>1024</v>
      </c>
      <c r="B218" s="5" t="s">
        <v>1025</v>
      </c>
      <c r="C218" s="5"/>
      <c r="D218" s="5"/>
      <c r="E218" s="5" t="s">
        <v>44</v>
      </c>
      <c r="F218" s="5"/>
      <c r="G218" s="5"/>
      <c r="H218" s="5"/>
      <c r="I218" s="5"/>
      <c r="J218" s="5"/>
      <c r="K218" s="5" t="s">
        <v>2294</v>
      </c>
      <c r="L218" s="5"/>
    </row>
    <row r="219" customFormat="false" ht="15" hidden="false" customHeight="true" outlineLevel="0" collapsed="false">
      <c r="A219" s="5" t="s">
        <v>1029</v>
      </c>
      <c r="B219" s="5" t="s">
        <v>1030</v>
      </c>
      <c r="C219" s="5"/>
      <c r="D219" s="5"/>
      <c r="E219" s="5" t="s">
        <v>44</v>
      </c>
      <c r="F219" s="5"/>
      <c r="G219" s="5"/>
      <c r="H219" s="5"/>
      <c r="I219" s="5"/>
      <c r="J219" s="5"/>
      <c r="K219" s="5" t="s">
        <v>2294</v>
      </c>
      <c r="L219" s="5"/>
    </row>
    <row r="220" customFormat="false" ht="15" hidden="false" customHeight="true" outlineLevel="0" collapsed="false">
      <c r="A220" s="5" t="s">
        <v>1035</v>
      </c>
      <c r="B220" s="5" t="s">
        <v>1036</v>
      </c>
      <c r="C220" s="5"/>
      <c r="D220" s="5"/>
      <c r="E220" s="5" t="s">
        <v>44</v>
      </c>
      <c r="F220" s="5"/>
      <c r="G220" s="5"/>
      <c r="H220" s="5"/>
      <c r="I220" s="5"/>
      <c r="J220" s="5"/>
      <c r="K220" s="5" t="s">
        <v>2294</v>
      </c>
      <c r="L220" s="5"/>
    </row>
    <row r="221" customFormat="false" ht="23.25" hidden="false" customHeight="true" outlineLevel="0" collapsed="false">
      <c r="A221" s="5" t="s">
        <v>1040</v>
      </c>
      <c r="B221" s="5" t="s">
        <v>1041</v>
      </c>
      <c r="C221" s="5"/>
      <c r="D221" s="5"/>
      <c r="E221" s="5" t="s">
        <v>44</v>
      </c>
      <c r="F221" s="5"/>
      <c r="G221" s="5"/>
      <c r="H221" s="5"/>
      <c r="I221" s="5"/>
      <c r="J221" s="5"/>
      <c r="K221" s="5" t="s">
        <v>2294</v>
      </c>
      <c r="L221" s="5"/>
    </row>
    <row r="222" customFormat="false" ht="23.25" hidden="false" customHeight="true" outlineLevel="0" collapsed="false">
      <c r="A222" s="5" t="s">
        <v>1045</v>
      </c>
      <c r="B222" s="5" t="s">
        <v>1046</v>
      </c>
      <c r="C222" s="5"/>
      <c r="D222" s="5"/>
      <c r="E222" s="5" t="s">
        <v>44</v>
      </c>
      <c r="F222" s="5"/>
      <c r="G222" s="5"/>
      <c r="H222" s="5"/>
      <c r="I222" s="5"/>
      <c r="J222" s="5"/>
      <c r="K222" s="5" t="s">
        <v>2294</v>
      </c>
      <c r="L222" s="5"/>
    </row>
    <row r="223" customFormat="false" ht="15" hidden="false" customHeight="true" outlineLevel="0" collapsed="false">
      <c r="A223" s="5" t="s">
        <v>1050</v>
      </c>
      <c r="B223" s="5" t="s">
        <v>1051</v>
      </c>
      <c r="C223" s="5"/>
      <c r="D223" s="5"/>
      <c r="E223" s="5" t="s">
        <v>44</v>
      </c>
      <c r="F223" s="5"/>
      <c r="G223" s="5"/>
      <c r="H223" s="5"/>
      <c r="I223" s="5"/>
      <c r="J223" s="5"/>
      <c r="K223" s="5" t="s">
        <v>2294</v>
      </c>
      <c r="L223" s="5"/>
    </row>
    <row r="224" customFormat="false" ht="23.25" hidden="false" customHeight="true" outlineLevel="0" collapsed="false">
      <c r="A224" s="5" t="s">
        <v>1055</v>
      </c>
      <c r="B224" s="5" t="s">
        <v>1056</v>
      </c>
      <c r="C224" s="5"/>
      <c r="D224" s="5"/>
      <c r="E224" s="5" t="s">
        <v>42</v>
      </c>
      <c r="F224" s="5"/>
      <c r="G224" s="5"/>
      <c r="H224" s="5"/>
      <c r="I224" s="5"/>
      <c r="J224" s="5"/>
      <c r="K224" s="5" t="s">
        <v>2294</v>
      </c>
      <c r="L224" s="5"/>
    </row>
    <row r="225" customFormat="false" ht="23.25" hidden="false" customHeight="true" outlineLevel="0" collapsed="false">
      <c r="A225" s="5" t="s">
        <v>1059</v>
      </c>
      <c r="B225" s="5" t="s">
        <v>1060</v>
      </c>
      <c r="C225" s="5"/>
      <c r="D225" s="5"/>
      <c r="E225" s="5" t="s">
        <v>44</v>
      </c>
      <c r="F225" s="5"/>
      <c r="G225" s="5"/>
      <c r="H225" s="5"/>
      <c r="I225" s="5"/>
      <c r="J225" s="5"/>
      <c r="K225" s="5" t="s">
        <v>2294</v>
      </c>
      <c r="L225" s="5"/>
    </row>
    <row r="226" customFormat="false" ht="15" hidden="false" customHeight="true" outlineLevel="0" collapsed="false">
      <c r="A226" s="5" t="s">
        <v>1064</v>
      </c>
      <c r="B226" s="5" t="s">
        <v>1065</v>
      </c>
      <c r="C226" s="5"/>
      <c r="D226" s="5"/>
      <c r="E226" s="5" t="s">
        <v>44</v>
      </c>
      <c r="F226" s="5"/>
      <c r="G226" s="5"/>
      <c r="H226" s="5"/>
      <c r="I226" s="5"/>
      <c r="J226" s="5"/>
      <c r="K226" s="5" t="s">
        <v>2294</v>
      </c>
      <c r="L226" s="5"/>
    </row>
    <row r="227" customFormat="false" ht="23.25" hidden="false" customHeight="true" outlineLevel="0" collapsed="false">
      <c r="A227" s="5" t="s">
        <v>1068</v>
      </c>
      <c r="B227" s="5" t="s">
        <v>1069</v>
      </c>
      <c r="C227" s="5"/>
      <c r="D227" s="5"/>
      <c r="E227" s="5" t="s">
        <v>44</v>
      </c>
      <c r="F227" s="5"/>
      <c r="G227" s="5"/>
      <c r="H227" s="5"/>
      <c r="I227" s="5"/>
      <c r="J227" s="5"/>
      <c r="K227" s="5" t="s">
        <v>2294</v>
      </c>
      <c r="L227" s="5"/>
    </row>
    <row r="228" customFormat="false" ht="23.25" hidden="false" customHeight="true" outlineLevel="0" collapsed="false">
      <c r="A228" s="5" t="s">
        <v>1072</v>
      </c>
      <c r="B228" s="5" t="s">
        <v>1073</v>
      </c>
      <c r="C228" s="5"/>
      <c r="D228" s="5"/>
      <c r="E228" s="5" t="s">
        <v>44</v>
      </c>
      <c r="F228" s="5"/>
      <c r="G228" s="5"/>
      <c r="H228" s="5"/>
      <c r="I228" s="5"/>
      <c r="J228" s="5"/>
      <c r="K228" s="5" t="s">
        <v>2294</v>
      </c>
      <c r="L228" s="5"/>
    </row>
    <row r="229" customFormat="false" ht="15" hidden="false" customHeight="true" outlineLevel="0" collapsed="false">
      <c r="A229" s="5" t="s">
        <v>1074</v>
      </c>
      <c r="B229" s="5" t="s">
        <v>1075</v>
      </c>
      <c r="C229" s="5"/>
      <c r="D229" s="5"/>
      <c r="E229" s="5" t="s">
        <v>42</v>
      </c>
      <c r="F229" s="5"/>
      <c r="G229" s="5"/>
      <c r="H229" s="5"/>
      <c r="I229" s="5"/>
      <c r="J229" s="5"/>
      <c r="K229" s="5" t="s">
        <v>2294</v>
      </c>
      <c r="L229" s="5"/>
    </row>
    <row r="230" customFormat="false" ht="15" hidden="false" customHeight="true" outlineLevel="0" collapsed="false">
      <c r="A230" s="5" t="s">
        <v>1079</v>
      </c>
      <c r="B230" s="5" t="s">
        <v>1080</v>
      </c>
      <c r="C230" s="5"/>
      <c r="D230" s="5"/>
      <c r="E230" s="5" t="s">
        <v>44</v>
      </c>
      <c r="F230" s="5"/>
      <c r="G230" s="5"/>
      <c r="H230" s="5"/>
      <c r="I230" s="5"/>
      <c r="J230" s="5"/>
      <c r="K230" s="5" t="s">
        <v>2294</v>
      </c>
      <c r="L230" s="5"/>
    </row>
    <row r="231" customFormat="false" ht="23.25" hidden="false" customHeight="true" outlineLevel="0" collapsed="false">
      <c r="A231" s="5" t="s">
        <v>1084</v>
      </c>
      <c r="B231" s="5" t="s">
        <v>1085</v>
      </c>
      <c r="C231" s="5"/>
      <c r="D231" s="5"/>
      <c r="E231" s="5" t="s">
        <v>44</v>
      </c>
      <c r="F231" s="5"/>
      <c r="G231" s="5"/>
      <c r="H231" s="5"/>
      <c r="I231" s="5"/>
      <c r="J231" s="5"/>
      <c r="K231" s="5" t="s">
        <v>2294</v>
      </c>
      <c r="L231" s="5"/>
    </row>
    <row r="232" customFormat="false" ht="15" hidden="false" customHeight="true" outlineLevel="0" collapsed="false">
      <c r="A232" s="5" t="s">
        <v>1089</v>
      </c>
      <c r="B232" s="5" t="s">
        <v>1090</v>
      </c>
      <c r="C232" s="5"/>
      <c r="D232" s="5"/>
      <c r="E232" s="5" t="s">
        <v>44</v>
      </c>
      <c r="F232" s="5"/>
      <c r="G232" s="5"/>
      <c r="H232" s="5"/>
      <c r="I232" s="5"/>
      <c r="J232" s="5"/>
      <c r="K232" s="5" t="s">
        <v>2294</v>
      </c>
      <c r="L232" s="5"/>
    </row>
    <row r="233" customFormat="false" ht="15" hidden="false" customHeight="true" outlineLevel="0" collapsed="false">
      <c r="A233" s="5" t="s">
        <v>1094</v>
      </c>
      <c r="B233" s="5" t="s">
        <v>1095</v>
      </c>
      <c r="C233" s="5"/>
      <c r="D233" s="5"/>
      <c r="E233" s="5" t="s">
        <v>42</v>
      </c>
      <c r="F233" s="5"/>
      <c r="G233" s="5"/>
      <c r="H233" s="5"/>
      <c r="I233" s="5"/>
      <c r="J233" s="5"/>
      <c r="K233" s="5" t="s">
        <v>2294</v>
      </c>
      <c r="L233" s="5"/>
    </row>
    <row r="234" customFormat="false" ht="23.25" hidden="false" customHeight="true" outlineLevel="0" collapsed="false">
      <c r="A234" s="5" t="s">
        <v>1098</v>
      </c>
      <c r="B234" s="5" t="s">
        <v>1099</v>
      </c>
      <c r="C234" s="5"/>
      <c r="D234" s="5"/>
      <c r="E234" s="5" t="s">
        <v>44</v>
      </c>
      <c r="F234" s="5"/>
      <c r="G234" s="5"/>
      <c r="H234" s="5"/>
      <c r="I234" s="5"/>
      <c r="J234" s="5"/>
      <c r="K234" s="5" t="s">
        <v>2294</v>
      </c>
      <c r="L234" s="5"/>
    </row>
    <row r="235" customFormat="false" ht="15" hidden="false" customHeight="true" outlineLevel="0" collapsed="false">
      <c r="A235" s="5" t="s">
        <v>1102</v>
      </c>
      <c r="B235" s="5" t="s">
        <v>1103</v>
      </c>
      <c r="C235" s="5"/>
      <c r="D235" s="5"/>
      <c r="E235" s="5" t="s">
        <v>42</v>
      </c>
      <c r="F235" s="5"/>
      <c r="G235" s="5"/>
      <c r="H235" s="5"/>
      <c r="I235" s="5"/>
      <c r="J235" s="5"/>
      <c r="K235" s="5" t="s">
        <v>2294</v>
      </c>
      <c r="L235" s="5"/>
    </row>
    <row r="236" customFormat="false" ht="23.25" hidden="false" customHeight="true" outlineLevel="0" collapsed="false">
      <c r="A236" s="5" t="s">
        <v>1106</v>
      </c>
      <c r="B236" s="5" t="s">
        <v>1107</v>
      </c>
      <c r="C236" s="5"/>
      <c r="D236" s="5"/>
      <c r="E236" s="5" t="s">
        <v>44</v>
      </c>
      <c r="F236" s="5"/>
      <c r="G236" s="5"/>
      <c r="H236" s="5"/>
      <c r="I236" s="5"/>
      <c r="J236" s="5"/>
      <c r="K236" s="5" t="s">
        <v>2294</v>
      </c>
      <c r="L236" s="5"/>
    </row>
    <row r="237" customFormat="false" ht="15" hidden="false" customHeight="true" outlineLevel="0" collapsed="false">
      <c r="A237" s="5" t="s">
        <v>1110</v>
      </c>
      <c r="B237" s="5" t="s">
        <v>1111</v>
      </c>
      <c r="C237" s="5"/>
      <c r="D237" s="5"/>
      <c r="E237" s="5" t="s">
        <v>42</v>
      </c>
      <c r="F237" s="5"/>
      <c r="G237" s="5"/>
      <c r="H237" s="5"/>
      <c r="I237" s="5"/>
      <c r="J237" s="5"/>
      <c r="K237" s="5" t="s">
        <v>2294</v>
      </c>
      <c r="L237" s="5"/>
    </row>
    <row r="238" customFormat="false" ht="15" hidden="false" customHeight="true" outlineLevel="0" collapsed="false">
      <c r="A238" s="5" t="s">
        <v>1114</v>
      </c>
      <c r="B238" s="5" t="s">
        <v>1115</v>
      </c>
      <c r="C238" s="5"/>
      <c r="D238" s="5"/>
      <c r="E238" s="5" t="s">
        <v>44</v>
      </c>
      <c r="F238" s="5"/>
      <c r="G238" s="5"/>
      <c r="H238" s="5"/>
      <c r="I238" s="5"/>
      <c r="J238" s="5"/>
      <c r="K238" s="5" t="s">
        <v>2294</v>
      </c>
      <c r="L238" s="5"/>
    </row>
    <row r="239" customFormat="false" ht="23.25" hidden="false" customHeight="true" outlineLevel="0" collapsed="false">
      <c r="A239" s="5" t="s">
        <v>1119</v>
      </c>
      <c r="B239" s="5" t="s">
        <v>1120</v>
      </c>
      <c r="C239" s="5"/>
      <c r="D239" s="5"/>
      <c r="E239" s="5" t="s">
        <v>44</v>
      </c>
      <c r="F239" s="5"/>
      <c r="G239" s="5"/>
      <c r="H239" s="5"/>
      <c r="I239" s="5"/>
      <c r="J239" s="5"/>
      <c r="K239" s="5" t="s">
        <v>2294</v>
      </c>
      <c r="L239" s="5"/>
    </row>
    <row r="240" customFormat="false" ht="23.25" hidden="false" customHeight="true" outlineLevel="0" collapsed="false">
      <c r="A240" s="5" t="s">
        <v>1123</v>
      </c>
      <c r="B240" s="5" t="s">
        <v>1124</v>
      </c>
      <c r="C240" s="5"/>
      <c r="D240" s="5"/>
      <c r="E240" s="5" t="s">
        <v>44</v>
      </c>
      <c r="F240" s="5"/>
      <c r="G240" s="5"/>
      <c r="H240" s="5"/>
      <c r="I240" s="5"/>
      <c r="J240" s="5"/>
      <c r="K240" s="5" t="s">
        <v>2294</v>
      </c>
      <c r="L240" s="5"/>
    </row>
    <row r="241" customFormat="false" ht="15" hidden="false" customHeight="true" outlineLevel="0" collapsed="false">
      <c r="A241" s="5" t="s">
        <v>1127</v>
      </c>
      <c r="B241" s="5" t="s">
        <v>1128</v>
      </c>
      <c r="C241" s="5"/>
      <c r="D241" s="5"/>
      <c r="E241" s="5" t="s">
        <v>44</v>
      </c>
      <c r="F241" s="5"/>
      <c r="G241" s="5"/>
      <c r="H241" s="5"/>
      <c r="I241" s="5"/>
      <c r="J241" s="5"/>
      <c r="K241" s="5" t="s">
        <v>2294</v>
      </c>
      <c r="L241" s="5"/>
    </row>
    <row r="242" customFormat="false" ht="15" hidden="false" customHeight="true" outlineLevel="0" collapsed="false">
      <c r="A242" s="5" t="s">
        <v>1131</v>
      </c>
      <c r="B242" s="5" t="s">
        <v>1132</v>
      </c>
      <c r="C242" s="5"/>
      <c r="D242" s="5"/>
      <c r="E242" s="5" t="s">
        <v>44</v>
      </c>
      <c r="F242" s="5"/>
      <c r="G242" s="5"/>
      <c r="H242" s="5"/>
      <c r="I242" s="5"/>
      <c r="J242" s="5"/>
      <c r="K242" s="5" t="s">
        <v>2294</v>
      </c>
      <c r="L242" s="5"/>
    </row>
    <row r="243" customFormat="false" ht="15" hidden="false" customHeight="true" outlineLevel="0" collapsed="false">
      <c r="A243" s="5" t="s">
        <v>1136</v>
      </c>
      <c r="B243" s="5" t="s">
        <v>1137</v>
      </c>
      <c r="C243" s="5"/>
      <c r="D243" s="5"/>
      <c r="E243" s="5" t="s">
        <v>42</v>
      </c>
      <c r="F243" s="5"/>
      <c r="G243" s="5"/>
      <c r="H243" s="5"/>
      <c r="I243" s="5"/>
      <c r="J243" s="5"/>
      <c r="K243" s="5" t="s">
        <v>2294</v>
      </c>
      <c r="L243" s="5"/>
    </row>
    <row r="244" customFormat="false" ht="23.25" hidden="false" customHeight="true" outlineLevel="0" collapsed="false">
      <c r="A244" s="5" t="s">
        <v>1140</v>
      </c>
      <c r="B244" s="5" t="s">
        <v>1141</v>
      </c>
      <c r="C244" s="5"/>
      <c r="D244" s="5"/>
      <c r="E244" s="5" t="s">
        <v>42</v>
      </c>
      <c r="F244" s="5"/>
      <c r="G244" s="5"/>
      <c r="H244" s="5"/>
      <c r="I244" s="5"/>
      <c r="J244" s="5"/>
      <c r="K244" s="5" t="s">
        <v>2294</v>
      </c>
      <c r="L244" s="5"/>
    </row>
    <row r="245" customFormat="false" ht="23.25" hidden="false" customHeight="true" outlineLevel="0" collapsed="false">
      <c r="A245" s="5" t="s">
        <v>1144</v>
      </c>
      <c r="B245" s="5" t="s">
        <v>1145</v>
      </c>
      <c r="C245" s="5"/>
      <c r="D245" s="5"/>
      <c r="E245" s="5" t="s">
        <v>42</v>
      </c>
      <c r="F245" s="5"/>
      <c r="G245" s="5"/>
      <c r="H245" s="5"/>
      <c r="I245" s="5"/>
      <c r="J245" s="5"/>
      <c r="K245" s="5" t="s">
        <v>2294</v>
      </c>
      <c r="L245" s="5"/>
    </row>
    <row r="246" customFormat="false" ht="23.25" hidden="false" customHeight="true" outlineLevel="0" collapsed="false">
      <c r="A246" s="5" t="s">
        <v>1148</v>
      </c>
      <c r="B246" s="5" t="s">
        <v>1149</v>
      </c>
      <c r="C246" s="5"/>
      <c r="D246" s="5"/>
      <c r="E246" s="5" t="s">
        <v>42</v>
      </c>
      <c r="F246" s="5"/>
      <c r="G246" s="5"/>
      <c r="H246" s="5"/>
      <c r="I246" s="5"/>
      <c r="J246" s="5"/>
      <c r="K246" s="5" t="s">
        <v>2294</v>
      </c>
      <c r="L246" s="5"/>
    </row>
    <row r="247" customFormat="false" ht="15" hidden="false" customHeight="true" outlineLevel="0" collapsed="false">
      <c r="A247" s="5" t="s">
        <v>1152</v>
      </c>
      <c r="B247" s="5" t="s">
        <v>1153</v>
      </c>
      <c r="C247" s="5"/>
      <c r="D247" s="5"/>
      <c r="E247" s="5" t="s">
        <v>42</v>
      </c>
      <c r="F247" s="5"/>
      <c r="G247" s="5"/>
      <c r="H247" s="5"/>
      <c r="I247" s="5"/>
      <c r="J247" s="5"/>
      <c r="K247" s="5" t="s">
        <v>2294</v>
      </c>
      <c r="L247" s="5"/>
    </row>
    <row r="248" customFormat="false" ht="15" hidden="false" customHeight="true" outlineLevel="0" collapsed="false">
      <c r="A248" s="5" t="s">
        <v>1156</v>
      </c>
      <c r="B248" s="5" t="s">
        <v>1157</v>
      </c>
      <c r="C248" s="5"/>
      <c r="D248" s="5"/>
      <c r="E248" s="5" t="s">
        <v>42</v>
      </c>
      <c r="F248" s="5"/>
      <c r="G248" s="5"/>
      <c r="H248" s="5"/>
      <c r="I248" s="5"/>
      <c r="J248" s="5"/>
      <c r="K248" s="5" t="s">
        <v>2294</v>
      </c>
      <c r="L248" s="5"/>
    </row>
    <row r="249" customFormat="false" ht="23.25" hidden="false" customHeight="true" outlineLevel="0" collapsed="false">
      <c r="A249" s="5" t="s">
        <v>1160</v>
      </c>
      <c r="B249" s="5" t="s">
        <v>1161</v>
      </c>
      <c r="C249" s="5"/>
      <c r="D249" s="5"/>
      <c r="E249" s="5" t="s">
        <v>42</v>
      </c>
      <c r="F249" s="5"/>
      <c r="G249" s="5"/>
      <c r="H249" s="5"/>
      <c r="I249" s="5"/>
      <c r="J249" s="5"/>
      <c r="K249" s="5" t="s">
        <v>2294</v>
      </c>
      <c r="L249" s="5"/>
    </row>
    <row r="250" customFormat="false" ht="15" hidden="false" customHeight="true" outlineLevel="0" collapsed="false">
      <c r="A250" s="5" t="s">
        <v>1165</v>
      </c>
      <c r="B250" s="5" t="s">
        <v>1166</v>
      </c>
      <c r="C250" s="5"/>
      <c r="D250" s="5"/>
      <c r="E250" s="5" t="s">
        <v>42</v>
      </c>
      <c r="F250" s="5"/>
      <c r="G250" s="5"/>
      <c r="H250" s="5"/>
      <c r="I250" s="5"/>
      <c r="J250" s="5"/>
      <c r="K250" s="5" t="s">
        <v>2294</v>
      </c>
      <c r="L250" s="5"/>
    </row>
    <row r="251" customFormat="false" ht="23.25" hidden="false" customHeight="true" outlineLevel="0" collapsed="false">
      <c r="A251" s="5" t="s">
        <v>1169</v>
      </c>
      <c r="B251" s="5" t="s">
        <v>1170</v>
      </c>
      <c r="C251" s="5"/>
      <c r="D251" s="5"/>
      <c r="E251" s="5" t="s">
        <v>44</v>
      </c>
      <c r="F251" s="5"/>
      <c r="G251" s="5"/>
      <c r="H251" s="5"/>
      <c r="I251" s="5"/>
      <c r="J251" s="5"/>
      <c r="K251" s="5" t="s">
        <v>2294</v>
      </c>
      <c r="L251" s="5"/>
    </row>
    <row r="252" customFormat="false" ht="23.25" hidden="false" customHeight="true" outlineLevel="0" collapsed="false">
      <c r="A252" s="5" t="s">
        <v>1173</v>
      </c>
      <c r="B252" s="5" t="s">
        <v>1174</v>
      </c>
      <c r="C252" s="5"/>
      <c r="D252" s="5"/>
      <c r="E252" s="5" t="s">
        <v>42</v>
      </c>
      <c r="F252" s="5"/>
      <c r="G252" s="5"/>
      <c r="H252" s="5"/>
      <c r="I252" s="5"/>
      <c r="J252" s="5"/>
      <c r="K252" s="5" t="s">
        <v>2294</v>
      </c>
      <c r="L252" s="5"/>
    </row>
    <row r="253" customFormat="false" ht="23.25" hidden="false" customHeight="true" outlineLevel="0" collapsed="false">
      <c r="A253" s="5" t="s">
        <v>1177</v>
      </c>
      <c r="B253" s="5" t="s">
        <v>1178</v>
      </c>
      <c r="C253" s="5"/>
      <c r="D253" s="5"/>
      <c r="E253" s="5" t="s">
        <v>42</v>
      </c>
      <c r="F253" s="5"/>
      <c r="G253" s="5"/>
      <c r="H253" s="5"/>
      <c r="I253" s="5"/>
      <c r="J253" s="5"/>
      <c r="K253" s="5" t="s">
        <v>2294</v>
      </c>
      <c r="L253" s="5"/>
    </row>
    <row r="254" customFormat="false" ht="23.25" hidden="false" customHeight="true" outlineLevel="0" collapsed="false">
      <c r="A254" s="5" t="s">
        <v>1181</v>
      </c>
      <c r="B254" s="5" t="s">
        <v>1182</v>
      </c>
      <c r="C254" s="5"/>
      <c r="D254" s="5"/>
      <c r="E254" s="5" t="s">
        <v>42</v>
      </c>
      <c r="F254" s="5"/>
      <c r="G254" s="5"/>
      <c r="H254" s="5"/>
      <c r="I254" s="5"/>
      <c r="J254" s="5"/>
      <c r="K254" s="5" t="s">
        <v>2294</v>
      </c>
      <c r="L254" s="5"/>
    </row>
    <row r="255" customFormat="false" ht="15" hidden="false" customHeight="true" outlineLevel="0" collapsed="false">
      <c r="A255" s="5" t="s">
        <v>1185</v>
      </c>
      <c r="B255" s="5" t="s">
        <v>1186</v>
      </c>
      <c r="C255" s="5"/>
      <c r="D255" s="5"/>
      <c r="E255" s="5" t="s">
        <v>44</v>
      </c>
      <c r="F255" s="5"/>
      <c r="G255" s="5"/>
      <c r="H255" s="5"/>
      <c r="I255" s="5"/>
      <c r="J255" s="5"/>
      <c r="K255" s="5" t="s">
        <v>2294</v>
      </c>
      <c r="L255" s="5"/>
    </row>
    <row r="256" customFormat="false" ht="15" hidden="false" customHeight="true" outlineLevel="0" collapsed="false">
      <c r="A256" s="5" t="s">
        <v>1190</v>
      </c>
      <c r="B256" s="5" t="s">
        <v>1191</v>
      </c>
      <c r="C256" s="5"/>
      <c r="D256" s="5"/>
      <c r="E256" s="5" t="s">
        <v>44</v>
      </c>
      <c r="F256" s="5"/>
      <c r="G256" s="5"/>
      <c r="H256" s="5"/>
      <c r="I256" s="5"/>
      <c r="J256" s="5"/>
      <c r="K256" s="5" t="s">
        <v>2294</v>
      </c>
      <c r="L256" s="5"/>
    </row>
    <row r="257" customFormat="false" ht="15" hidden="false" customHeight="true" outlineLevel="0" collapsed="false">
      <c r="A257" s="5" t="s">
        <v>1194</v>
      </c>
      <c r="B257" s="5" t="s">
        <v>1195</v>
      </c>
      <c r="C257" s="5"/>
      <c r="D257" s="5"/>
      <c r="E257" s="5" t="s">
        <v>44</v>
      </c>
      <c r="F257" s="5"/>
      <c r="G257" s="5"/>
      <c r="H257" s="5"/>
      <c r="I257" s="5"/>
      <c r="J257" s="5"/>
      <c r="K257" s="5" t="s">
        <v>2294</v>
      </c>
      <c r="L257" s="5"/>
    </row>
    <row r="258" customFormat="false" ht="15" hidden="false" customHeight="true" outlineLevel="0" collapsed="false">
      <c r="A258" s="5" t="s">
        <v>1198</v>
      </c>
      <c r="B258" s="5" t="s">
        <v>1199</v>
      </c>
      <c r="C258" s="5"/>
      <c r="D258" s="5"/>
      <c r="E258" s="5" t="s">
        <v>44</v>
      </c>
      <c r="F258" s="5"/>
      <c r="G258" s="5"/>
      <c r="H258" s="5"/>
      <c r="I258" s="5"/>
      <c r="J258" s="5"/>
      <c r="K258" s="5" t="s">
        <v>2294</v>
      </c>
      <c r="L258" s="5"/>
    </row>
    <row r="259" customFormat="false" ht="15" hidden="false" customHeight="true" outlineLevel="0" collapsed="false">
      <c r="A259" s="5" t="s">
        <v>1202</v>
      </c>
      <c r="B259" s="5" t="s">
        <v>1203</v>
      </c>
      <c r="C259" s="5"/>
      <c r="D259" s="5"/>
      <c r="E259" s="5" t="s">
        <v>42</v>
      </c>
      <c r="F259" s="5"/>
      <c r="G259" s="5"/>
      <c r="H259" s="5"/>
      <c r="I259" s="5"/>
      <c r="J259" s="5"/>
      <c r="K259" s="5" t="s">
        <v>2294</v>
      </c>
      <c r="L259" s="5"/>
    </row>
    <row r="260" customFormat="false" ht="15" hidden="false" customHeight="true" outlineLevel="0" collapsed="false">
      <c r="A260" s="5" t="s">
        <v>1206</v>
      </c>
      <c r="B260" s="5" t="s">
        <v>1207</v>
      </c>
      <c r="C260" s="5"/>
      <c r="D260" s="5"/>
      <c r="E260" s="5" t="s">
        <v>42</v>
      </c>
      <c r="F260" s="5"/>
      <c r="G260" s="5"/>
      <c r="H260" s="5"/>
      <c r="I260" s="5"/>
      <c r="J260" s="5"/>
      <c r="K260" s="5" t="s">
        <v>2294</v>
      </c>
      <c r="L260" s="5"/>
    </row>
    <row r="261" customFormat="false" ht="23.25" hidden="false" customHeight="true" outlineLevel="0" collapsed="false">
      <c r="A261" s="5" t="s">
        <v>1210</v>
      </c>
      <c r="B261" s="5" t="s">
        <v>1211</v>
      </c>
      <c r="C261" s="5"/>
      <c r="D261" s="5"/>
      <c r="E261" s="5" t="s">
        <v>44</v>
      </c>
      <c r="F261" s="5"/>
      <c r="G261" s="5"/>
      <c r="H261" s="5"/>
      <c r="I261" s="5"/>
      <c r="J261" s="5"/>
      <c r="K261" s="5" t="s">
        <v>2294</v>
      </c>
      <c r="L261" s="5"/>
    </row>
    <row r="262" customFormat="false" ht="15" hidden="false" customHeight="true" outlineLevel="0" collapsed="false">
      <c r="A262" s="5" t="s">
        <v>1216</v>
      </c>
      <c r="B262" s="5" t="s">
        <v>1217</v>
      </c>
      <c r="C262" s="5"/>
      <c r="D262" s="5"/>
      <c r="E262" s="5" t="s">
        <v>42</v>
      </c>
      <c r="F262" s="5"/>
      <c r="G262" s="5"/>
      <c r="H262" s="5"/>
      <c r="I262" s="5"/>
      <c r="J262" s="5"/>
      <c r="K262" s="5" t="s">
        <v>2294</v>
      </c>
      <c r="L262" s="5"/>
    </row>
    <row r="263" customFormat="false" ht="15" hidden="false" customHeight="true" outlineLevel="0" collapsed="false">
      <c r="A263" s="5" t="s">
        <v>1220</v>
      </c>
      <c r="B263" s="5" t="s">
        <v>1221</v>
      </c>
      <c r="C263" s="5"/>
      <c r="D263" s="5"/>
      <c r="E263" s="5" t="s">
        <v>44</v>
      </c>
      <c r="F263" s="5"/>
      <c r="G263" s="5"/>
      <c r="H263" s="5"/>
      <c r="I263" s="5"/>
      <c r="J263" s="5"/>
      <c r="K263" s="5" t="s">
        <v>2294</v>
      </c>
      <c r="L263" s="5"/>
    </row>
    <row r="264" customFormat="false" ht="15" hidden="false" customHeight="true" outlineLevel="0" collapsed="false">
      <c r="A264" s="5" t="s">
        <v>1225</v>
      </c>
      <c r="B264" s="5" t="s">
        <v>1226</v>
      </c>
      <c r="C264" s="5"/>
      <c r="D264" s="5"/>
      <c r="E264" s="5" t="s">
        <v>44</v>
      </c>
      <c r="F264" s="5"/>
      <c r="G264" s="5"/>
      <c r="H264" s="5"/>
      <c r="I264" s="5"/>
      <c r="J264" s="5"/>
      <c r="K264" s="5" t="s">
        <v>2294</v>
      </c>
      <c r="L264" s="5"/>
    </row>
    <row r="265" customFormat="false" ht="23.25" hidden="false" customHeight="true" outlineLevel="0" collapsed="false">
      <c r="A265" s="5" t="s">
        <v>1232</v>
      </c>
      <c r="B265" s="5" t="s">
        <v>1233</v>
      </c>
      <c r="C265" s="5"/>
      <c r="D265" s="5"/>
      <c r="E265" s="5" t="s">
        <v>44</v>
      </c>
      <c r="F265" s="5"/>
      <c r="G265" s="5"/>
      <c r="H265" s="5"/>
      <c r="I265" s="5"/>
      <c r="J265" s="5"/>
      <c r="K265" s="5" t="s">
        <v>2294</v>
      </c>
      <c r="L265" s="5"/>
    </row>
    <row r="266" customFormat="false" ht="23.25" hidden="false" customHeight="true" outlineLevel="0" collapsed="false">
      <c r="A266" s="5" t="s">
        <v>1237</v>
      </c>
      <c r="B266" s="5" t="s">
        <v>1238</v>
      </c>
      <c r="C266" s="5"/>
      <c r="D266" s="5"/>
      <c r="E266" s="5" t="s">
        <v>44</v>
      </c>
      <c r="F266" s="5"/>
      <c r="G266" s="5"/>
      <c r="H266" s="5"/>
      <c r="I266" s="5"/>
      <c r="J266" s="5"/>
      <c r="K266" s="5" t="s">
        <v>2294</v>
      </c>
      <c r="L266" s="5"/>
    </row>
    <row r="267" customFormat="false" ht="23.25" hidden="false" customHeight="true" outlineLevel="0" collapsed="false">
      <c r="A267" s="5" t="s">
        <v>1242</v>
      </c>
      <c r="B267" s="5" t="s">
        <v>1243</v>
      </c>
      <c r="C267" s="5"/>
      <c r="D267" s="5"/>
      <c r="E267" s="5" t="s">
        <v>44</v>
      </c>
      <c r="F267" s="5"/>
      <c r="G267" s="5"/>
      <c r="H267" s="5"/>
      <c r="I267" s="5"/>
      <c r="J267" s="5"/>
      <c r="K267" s="5" t="s">
        <v>2294</v>
      </c>
      <c r="L267" s="5"/>
    </row>
    <row r="268" customFormat="false" ht="23.25" hidden="false" customHeight="true" outlineLevel="0" collapsed="false">
      <c r="A268" s="5" t="s">
        <v>1244</v>
      </c>
      <c r="B268" s="5" t="s">
        <v>1245</v>
      </c>
      <c r="C268" s="5"/>
      <c r="D268" s="5"/>
      <c r="E268" s="5" t="s">
        <v>44</v>
      </c>
      <c r="F268" s="5"/>
      <c r="G268" s="5"/>
      <c r="H268" s="5"/>
      <c r="I268" s="5"/>
      <c r="J268" s="5"/>
      <c r="K268" s="5" t="s">
        <v>2294</v>
      </c>
      <c r="L268" s="5"/>
    </row>
    <row r="269" customFormat="false" ht="23.25" hidden="false" customHeight="true" outlineLevel="0" collapsed="false">
      <c r="A269" s="5" t="s">
        <v>1249</v>
      </c>
      <c r="B269" s="5" t="s">
        <v>1250</v>
      </c>
      <c r="C269" s="5"/>
      <c r="D269" s="5"/>
      <c r="E269" s="5" t="s">
        <v>42</v>
      </c>
      <c r="F269" s="5"/>
      <c r="G269" s="5"/>
      <c r="H269" s="5"/>
      <c r="I269" s="5"/>
      <c r="J269" s="5"/>
      <c r="K269" s="5" t="s">
        <v>2294</v>
      </c>
      <c r="L269" s="5"/>
    </row>
    <row r="270" customFormat="false" ht="15" hidden="false" customHeight="true" outlineLevel="0" collapsed="false">
      <c r="A270" s="5" t="s">
        <v>1253</v>
      </c>
      <c r="B270" s="5" t="s">
        <v>1254</v>
      </c>
      <c r="C270" s="5"/>
      <c r="D270" s="5"/>
      <c r="E270" s="5" t="s">
        <v>44</v>
      </c>
      <c r="F270" s="5"/>
      <c r="G270" s="5"/>
      <c r="H270" s="5"/>
      <c r="I270" s="5"/>
      <c r="J270" s="5"/>
      <c r="K270" s="5" t="s">
        <v>2294</v>
      </c>
      <c r="L270" s="5"/>
    </row>
    <row r="271" customFormat="false" ht="23.25" hidden="false" customHeight="true" outlineLevel="0" collapsed="false">
      <c r="A271" s="5" t="s">
        <v>1257</v>
      </c>
      <c r="B271" s="5" t="s">
        <v>1258</v>
      </c>
      <c r="C271" s="5"/>
      <c r="D271" s="5"/>
      <c r="E271" s="5" t="s">
        <v>44</v>
      </c>
      <c r="F271" s="5"/>
      <c r="G271" s="5"/>
      <c r="H271" s="5"/>
      <c r="I271" s="5"/>
      <c r="J271" s="5"/>
      <c r="K271" s="5" t="s">
        <v>2294</v>
      </c>
      <c r="L271" s="5"/>
    </row>
    <row r="272" customFormat="false" ht="23.25" hidden="false" customHeight="true" outlineLevel="0" collapsed="false">
      <c r="A272" s="5" t="s">
        <v>1262</v>
      </c>
      <c r="B272" s="5" t="s">
        <v>1263</v>
      </c>
      <c r="C272" s="5"/>
      <c r="D272" s="5"/>
      <c r="E272" s="5" t="s">
        <v>42</v>
      </c>
      <c r="F272" s="5"/>
      <c r="G272" s="5"/>
      <c r="H272" s="5"/>
      <c r="I272" s="5"/>
      <c r="J272" s="5"/>
      <c r="K272" s="5" t="s">
        <v>2294</v>
      </c>
      <c r="L272" s="5"/>
    </row>
    <row r="273" customFormat="false" ht="23.25" hidden="false" customHeight="true" outlineLevel="0" collapsed="false">
      <c r="A273" s="5" t="s">
        <v>1264</v>
      </c>
      <c r="B273" s="5" t="s">
        <v>1265</v>
      </c>
      <c r="C273" s="5"/>
      <c r="D273" s="5"/>
      <c r="E273" s="5" t="s">
        <v>44</v>
      </c>
      <c r="F273" s="5"/>
      <c r="G273" s="5"/>
      <c r="H273" s="5"/>
      <c r="I273" s="5"/>
      <c r="J273" s="5"/>
      <c r="K273" s="5" t="s">
        <v>2294</v>
      </c>
      <c r="L273" s="5"/>
    </row>
    <row r="274" customFormat="false" ht="23.25" hidden="false" customHeight="true" outlineLevel="0" collapsed="false">
      <c r="A274" s="5" t="s">
        <v>1266</v>
      </c>
      <c r="B274" s="5" t="s">
        <v>1267</v>
      </c>
      <c r="C274" s="5"/>
      <c r="D274" s="5"/>
      <c r="E274" s="5" t="s">
        <v>44</v>
      </c>
      <c r="F274" s="5"/>
      <c r="G274" s="5"/>
      <c r="H274" s="5"/>
      <c r="I274" s="5"/>
      <c r="J274" s="5"/>
      <c r="K274" s="5" t="s">
        <v>2294</v>
      </c>
      <c r="L274" s="5"/>
    </row>
    <row r="275" customFormat="false" ht="23.25" hidden="false" customHeight="true" outlineLevel="0" collapsed="false">
      <c r="A275" s="5" t="s">
        <v>1270</v>
      </c>
      <c r="B275" s="5" t="s">
        <v>1271</v>
      </c>
      <c r="C275" s="5"/>
      <c r="D275" s="5"/>
      <c r="E275" s="5" t="s">
        <v>44</v>
      </c>
      <c r="F275" s="5"/>
      <c r="G275" s="5"/>
      <c r="H275" s="5"/>
      <c r="I275" s="5"/>
      <c r="J275" s="5"/>
      <c r="K275" s="5" t="s">
        <v>2294</v>
      </c>
      <c r="L275" s="5"/>
    </row>
    <row r="276" customFormat="false" ht="15" hidden="false" customHeight="true" outlineLevel="0" collapsed="false">
      <c r="A276" s="5" t="s">
        <v>1274</v>
      </c>
      <c r="B276" s="5" t="s">
        <v>1275</v>
      </c>
      <c r="C276" s="5"/>
      <c r="D276" s="5"/>
      <c r="E276" s="5" t="s">
        <v>44</v>
      </c>
      <c r="F276" s="5"/>
      <c r="G276" s="5"/>
      <c r="H276" s="5"/>
      <c r="I276" s="5"/>
      <c r="J276" s="5"/>
      <c r="K276" s="5" t="s">
        <v>2294</v>
      </c>
      <c r="L276" s="5"/>
    </row>
    <row r="277" customFormat="false" ht="23.25" hidden="false" customHeight="true" outlineLevel="0" collapsed="false">
      <c r="A277" s="5" t="s">
        <v>1278</v>
      </c>
      <c r="B277" s="5" t="s">
        <v>1279</v>
      </c>
      <c r="C277" s="5"/>
      <c r="D277" s="5"/>
      <c r="E277" s="5" t="s">
        <v>44</v>
      </c>
      <c r="F277" s="5"/>
      <c r="G277" s="5"/>
      <c r="H277" s="5"/>
      <c r="I277" s="5"/>
      <c r="J277" s="5"/>
      <c r="K277" s="5" t="s">
        <v>2294</v>
      </c>
      <c r="L277" s="5"/>
    </row>
    <row r="278" customFormat="false" ht="23.25" hidden="false" customHeight="true" outlineLevel="0" collapsed="false">
      <c r="A278" s="5" t="s">
        <v>1282</v>
      </c>
      <c r="B278" s="5" t="s">
        <v>1283</v>
      </c>
      <c r="C278" s="5"/>
      <c r="D278" s="5"/>
      <c r="E278" s="5" t="s">
        <v>44</v>
      </c>
      <c r="F278" s="5"/>
      <c r="G278" s="5"/>
      <c r="H278" s="5"/>
      <c r="I278" s="5"/>
      <c r="J278" s="5"/>
      <c r="K278" s="5" t="s">
        <v>2294</v>
      </c>
      <c r="L278" s="5"/>
    </row>
    <row r="279" customFormat="false" ht="15" hidden="false" customHeight="true" outlineLevel="0" collapsed="false">
      <c r="A279" s="5" t="s">
        <v>1288</v>
      </c>
      <c r="B279" s="5" t="s">
        <v>1289</v>
      </c>
      <c r="C279" s="5"/>
      <c r="D279" s="5"/>
      <c r="E279" s="5" t="s">
        <v>44</v>
      </c>
      <c r="F279" s="5"/>
      <c r="G279" s="5"/>
      <c r="H279" s="5"/>
      <c r="I279" s="5"/>
      <c r="J279" s="5"/>
      <c r="K279" s="5" t="s">
        <v>2294</v>
      </c>
      <c r="L279" s="5"/>
    </row>
    <row r="280" customFormat="false" ht="15" hidden="false" customHeight="true" outlineLevel="0" collapsed="false">
      <c r="A280" s="5" t="s">
        <v>1295</v>
      </c>
      <c r="B280" s="5" t="s">
        <v>1296</v>
      </c>
      <c r="C280" s="5"/>
      <c r="D280" s="5"/>
      <c r="E280" s="5" t="s">
        <v>42</v>
      </c>
      <c r="F280" s="5"/>
      <c r="G280" s="5"/>
      <c r="H280" s="5"/>
      <c r="I280" s="5"/>
      <c r="J280" s="5"/>
      <c r="K280" s="5" t="s">
        <v>2294</v>
      </c>
      <c r="L280" s="5"/>
    </row>
    <row r="281" customFormat="false" ht="15" hidden="false" customHeight="true" outlineLevel="0" collapsed="false">
      <c r="A281" s="5" t="s">
        <v>1299</v>
      </c>
      <c r="B281" s="5" t="s">
        <v>1300</v>
      </c>
      <c r="C281" s="5"/>
      <c r="D281" s="5"/>
      <c r="E281" s="5" t="s">
        <v>42</v>
      </c>
      <c r="F281" s="5"/>
      <c r="G281" s="5"/>
      <c r="H281" s="5"/>
      <c r="I281" s="5"/>
      <c r="J281" s="5"/>
      <c r="K281" s="5" t="s">
        <v>2294</v>
      </c>
      <c r="L281" s="5"/>
    </row>
    <row r="282" customFormat="false" ht="15" hidden="false" customHeight="true" outlineLevel="0" collapsed="false">
      <c r="A282" s="5" t="s">
        <v>1304</v>
      </c>
      <c r="B282" s="5" t="s">
        <v>1305</v>
      </c>
      <c r="C282" s="5"/>
      <c r="D282" s="5"/>
      <c r="E282" s="5" t="s">
        <v>42</v>
      </c>
      <c r="F282" s="5"/>
      <c r="G282" s="5"/>
      <c r="H282" s="5"/>
      <c r="I282" s="5"/>
      <c r="J282" s="5"/>
      <c r="K282" s="5" t="s">
        <v>2294</v>
      </c>
      <c r="L282" s="5"/>
    </row>
    <row r="283" customFormat="false" ht="23.25" hidden="false" customHeight="true" outlineLevel="0" collapsed="false">
      <c r="A283" s="5" t="s">
        <v>1308</v>
      </c>
      <c r="B283" s="5" t="s">
        <v>1309</v>
      </c>
      <c r="C283" s="5"/>
      <c r="D283" s="5"/>
      <c r="E283" s="5" t="s">
        <v>42</v>
      </c>
      <c r="F283" s="5"/>
      <c r="G283" s="5"/>
      <c r="H283" s="5"/>
      <c r="I283" s="5"/>
      <c r="J283" s="5"/>
      <c r="K283" s="5" t="s">
        <v>2294</v>
      </c>
      <c r="L283" s="5"/>
    </row>
    <row r="284" customFormat="false" ht="15" hidden="false" customHeight="true" outlineLevel="0" collapsed="false">
      <c r="A284" s="5" t="s">
        <v>1312</v>
      </c>
      <c r="B284" s="5" t="s">
        <v>1313</v>
      </c>
      <c r="C284" s="5"/>
      <c r="D284" s="5"/>
      <c r="E284" s="5" t="s">
        <v>42</v>
      </c>
      <c r="F284" s="5"/>
      <c r="G284" s="5"/>
      <c r="H284" s="5"/>
      <c r="I284" s="5"/>
      <c r="J284" s="5"/>
      <c r="K284" s="5" t="s">
        <v>2294</v>
      </c>
      <c r="L284" s="5"/>
    </row>
    <row r="285" customFormat="false" ht="23.25" hidden="false" customHeight="true" outlineLevel="0" collapsed="false">
      <c r="A285" s="5" t="s">
        <v>1316</v>
      </c>
      <c r="B285" s="5" t="s">
        <v>1317</v>
      </c>
      <c r="C285" s="5"/>
      <c r="D285" s="5"/>
      <c r="E285" s="5" t="s">
        <v>42</v>
      </c>
      <c r="F285" s="5"/>
      <c r="G285" s="5"/>
      <c r="H285" s="5"/>
      <c r="I285" s="5"/>
      <c r="J285" s="5"/>
      <c r="K285" s="5" t="s">
        <v>2294</v>
      </c>
      <c r="L285" s="5"/>
    </row>
    <row r="286" customFormat="false" ht="23.25" hidden="false" customHeight="true" outlineLevel="0" collapsed="false">
      <c r="A286" s="5" t="s">
        <v>1320</v>
      </c>
      <c r="B286" s="5" t="s">
        <v>1321</v>
      </c>
      <c r="C286" s="5"/>
      <c r="D286" s="5"/>
      <c r="E286" s="5" t="s">
        <v>44</v>
      </c>
      <c r="F286" s="5"/>
      <c r="G286" s="5"/>
      <c r="H286" s="5"/>
      <c r="I286" s="5"/>
      <c r="J286" s="5"/>
      <c r="K286" s="5" t="s">
        <v>2294</v>
      </c>
      <c r="L286" s="5"/>
    </row>
    <row r="287" customFormat="false" ht="23.25" hidden="false" customHeight="true" outlineLevel="0" collapsed="false">
      <c r="A287" s="5" t="s">
        <v>1325</v>
      </c>
      <c r="B287" s="5" t="s">
        <v>1326</v>
      </c>
      <c r="C287" s="5"/>
      <c r="D287" s="5"/>
      <c r="E287" s="5" t="s">
        <v>44</v>
      </c>
      <c r="F287" s="5"/>
      <c r="G287" s="5"/>
      <c r="H287" s="5"/>
      <c r="I287" s="5"/>
      <c r="J287" s="5"/>
      <c r="K287" s="5" t="s">
        <v>2294</v>
      </c>
      <c r="L287" s="5"/>
    </row>
    <row r="288" customFormat="false" ht="15" hidden="false" customHeight="true" outlineLevel="0" collapsed="false">
      <c r="A288" s="5" t="s">
        <v>1332</v>
      </c>
      <c r="B288" s="5" t="s">
        <v>1333</v>
      </c>
      <c r="C288" s="5"/>
      <c r="D288" s="5"/>
      <c r="E288" s="5" t="s">
        <v>44</v>
      </c>
      <c r="F288" s="5"/>
      <c r="G288" s="5"/>
      <c r="H288" s="5"/>
      <c r="I288" s="5"/>
      <c r="J288" s="5"/>
      <c r="K288" s="5" t="s">
        <v>2294</v>
      </c>
      <c r="L288" s="5"/>
    </row>
    <row r="289" customFormat="false" ht="34.5" hidden="false" customHeight="true" outlineLevel="0" collapsed="false">
      <c r="A289" s="5" t="s">
        <v>1337</v>
      </c>
      <c r="B289" s="5" t="s">
        <v>1338</v>
      </c>
      <c r="C289" s="5"/>
      <c r="D289" s="5"/>
      <c r="E289" s="5" t="s">
        <v>44</v>
      </c>
      <c r="F289" s="5"/>
      <c r="G289" s="5"/>
      <c r="H289" s="5"/>
      <c r="I289" s="5"/>
      <c r="J289" s="5"/>
      <c r="K289" s="5" t="s">
        <v>2294</v>
      </c>
      <c r="L289" s="5"/>
    </row>
    <row r="290" customFormat="false" ht="15" hidden="false" customHeight="true" outlineLevel="0" collapsed="false">
      <c r="A290" s="5" t="s">
        <v>1344</v>
      </c>
      <c r="B290" s="5" t="s">
        <v>1345</v>
      </c>
      <c r="C290" s="5"/>
      <c r="D290" s="5"/>
      <c r="E290" s="5" t="s">
        <v>44</v>
      </c>
      <c r="F290" s="5"/>
      <c r="G290" s="5"/>
      <c r="H290" s="5"/>
      <c r="I290" s="5"/>
      <c r="J290" s="5"/>
      <c r="K290" s="5" t="s">
        <v>2294</v>
      </c>
      <c r="L290" s="5"/>
    </row>
    <row r="291" customFormat="false" ht="15" hidden="false" customHeight="true" outlineLevel="0" collapsed="false">
      <c r="A291" s="5" t="s">
        <v>1348</v>
      </c>
      <c r="B291" s="5" t="s">
        <v>1349</v>
      </c>
      <c r="C291" s="5"/>
      <c r="D291" s="5"/>
      <c r="E291" s="5" t="s">
        <v>44</v>
      </c>
      <c r="F291" s="5"/>
      <c r="G291" s="5"/>
      <c r="H291" s="5"/>
      <c r="I291" s="5"/>
      <c r="J291" s="5"/>
      <c r="K291" s="5" t="s">
        <v>2294</v>
      </c>
      <c r="L291" s="5"/>
    </row>
    <row r="292" customFormat="false" ht="15" hidden="false" customHeight="true" outlineLevel="0" collapsed="false">
      <c r="A292" s="5" t="s">
        <v>1352</v>
      </c>
      <c r="B292" s="5" t="s">
        <v>1353</v>
      </c>
      <c r="C292" s="5"/>
      <c r="D292" s="5"/>
      <c r="E292" s="5" t="s">
        <v>42</v>
      </c>
      <c r="F292" s="5"/>
      <c r="G292" s="5"/>
      <c r="H292" s="5"/>
      <c r="I292" s="5"/>
      <c r="J292" s="5"/>
      <c r="K292" s="5" t="s">
        <v>2294</v>
      </c>
      <c r="L292" s="5"/>
    </row>
    <row r="293" customFormat="false" ht="23.25" hidden="false" customHeight="true" outlineLevel="0" collapsed="false">
      <c r="A293" s="5" t="s">
        <v>1356</v>
      </c>
      <c r="B293" s="5" t="s">
        <v>1357</v>
      </c>
      <c r="C293" s="5"/>
      <c r="D293" s="5"/>
      <c r="E293" s="5" t="s">
        <v>44</v>
      </c>
      <c r="F293" s="5"/>
      <c r="G293" s="5"/>
      <c r="H293" s="5"/>
      <c r="I293" s="5"/>
      <c r="J293" s="5"/>
      <c r="K293" s="5" t="s">
        <v>2294</v>
      </c>
      <c r="L293" s="5"/>
    </row>
    <row r="294" customFormat="false" ht="23.25" hidden="false" customHeight="true" outlineLevel="0" collapsed="false">
      <c r="A294" s="5" t="s">
        <v>1360</v>
      </c>
      <c r="B294" s="5" t="s">
        <v>1361</v>
      </c>
      <c r="C294" s="5"/>
      <c r="D294" s="5"/>
      <c r="E294" s="5" t="s">
        <v>44</v>
      </c>
      <c r="F294" s="5"/>
      <c r="G294" s="5"/>
      <c r="H294" s="5"/>
      <c r="I294" s="5"/>
      <c r="J294" s="5"/>
      <c r="K294" s="5" t="s">
        <v>2294</v>
      </c>
      <c r="L294" s="5"/>
    </row>
    <row r="295" customFormat="false" ht="23.25" hidden="false" customHeight="true" outlineLevel="0" collapsed="false">
      <c r="A295" s="5" t="s">
        <v>1364</v>
      </c>
      <c r="B295" s="5" t="s">
        <v>1365</v>
      </c>
      <c r="C295" s="5"/>
      <c r="D295" s="5"/>
      <c r="E295" s="5" t="s">
        <v>42</v>
      </c>
      <c r="F295" s="5"/>
      <c r="G295" s="5"/>
      <c r="H295" s="5"/>
      <c r="I295" s="5"/>
      <c r="J295" s="5"/>
      <c r="K295" s="5" t="s">
        <v>2294</v>
      </c>
      <c r="L295" s="5"/>
    </row>
    <row r="296" customFormat="false" ht="15" hidden="false" customHeight="true" outlineLevel="0" collapsed="false">
      <c r="A296" s="5" t="s">
        <v>1368</v>
      </c>
      <c r="B296" s="5" t="s">
        <v>1369</v>
      </c>
      <c r="C296" s="5"/>
      <c r="D296" s="5"/>
      <c r="E296" s="5" t="s">
        <v>44</v>
      </c>
      <c r="F296" s="5"/>
      <c r="G296" s="5"/>
      <c r="H296" s="5"/>
      <c r="I296" s="5"/>
      <c r="J296" s="5"/>
      <c r="K296" s="5" t="s">
        <v>2294</v>
      </c>
      <c r="L296" s="5"/>
    </row>
    <row r="297" customFormat="false" ht="15" hidden="false" customHeight="true" outlineLevel="0" collapsed="false">
      <c r="A297" s="5" t="s">
        <v>1372</v>
      </c>
      <c r="B297" s="5" t="s">
        <v>1373</v>
      </c>
      <c r="C297" s="5"/>
      <c r="D297" s="5"/>
      <c r="E297" s="5" t="s">
        <v>42</v>
      </c>
      <c r="F297" s="5"/>
      <c r="G297" s="5"/>
      <c r="H297" s="5"/>
      <c r="I297" s="5"/>
      <c r="J297" s="5"/>
      <c r="K297" s="5" t="s">
        <v>2294</v>
      </c>
      <c r="L297" s="5"/>
    </row>
    <row r="298" customFormat="false" ht="15" hidden="false" customHeight="true" outlineLevel="0" collapsed="false">
      <c r="A298" s="5" t="s">
        <v>1377</v>
      </c>
      <c r="B298" s="5" t="s">
        <v>1378</v>
      </c>
      <c r="C298" s="5"/>
      <c r="D298" s="5"/>
      <c r="E298" s="5" t="s">
        <v>44</v>
      </c>
      <c r="F298" s="5"/>
      <c r="G298" s="5"/>
      <c r="H298" s="5"/>
      <c r="I298" s="5"/>
      <c r="J298" s="5"/>
      <c r="K298" s="5" t="s">
        <v>2294</v>
      </c>
      <c r="L298" s="5"/>
    </row>
    <row r="299" customFormat="false" ht="23.25" hidden="false" customHeight="true" outlineLevel="0" collapsed="false">
      <c r="A299" s="5" t="s">
        <v>1384</v>
      </c>
      <c r="B299" s="5" t="s">
        <v>1385</v>
      </c>
      <c r="C299" s="5"/>
      <c r="D299" s="5"/>
      <c r="E299" s="5" t="s">
        <v>44</v>
      </c>
      <c r="F299" s="5"/>
      <c r="G299" s="5"/>
      <c r="H299" s="5"/>
      <c r="I299" s="5"/>
      <c r="J299" s="5"/>
      <c r="K299" s="5" t="s">
        <v>2294</v>
      </c>
      <c r="L299" s="5"/>
    </row>
    <row r="300" customFormat="false" ht="15" hidden="false" customHeight="true" outlineLevel="0" collapsed="false">
      <c r="A300" s="5" t="s">
        <v>1391</v>
      </c>
      <c r="B300" s="5" t="s">
        <v>1392</v>
      </c>
      <c r="C300" s="5"/>
      <c r="D300" s="5"/>
      <c r="E300" s="5" t="s">
        <v>44</v>
      </c>
      <c r="F300" s="5"/>
      <c r="G300" s="5"/>
      <c r="H300" s="5"/>
      <c r="I300" s="5"/>
      <c r="J300" s="5"/>
      <c r="K300" s="5" t="s">
        <v>2294</v>
      </c>
      <c r="L300" s="5"/>
    </row>
    <row r="301" customFormat="false" ht="15" hidden="false" customHeight="true" outlineLevel="0" collapsed="false">
      <c r="A301" s="5" t="s">
        <v>1399</v>
      </c>
      <c r="B301" s="5" t="s">
        <v>1400</v>
      </c>
      <c r="C301" s="5"/>
      <c r="D301" s="5"/>
      <c r="E301" s="5" t="s">
        <v>42</v>
      </c>
      <c r="F301" s="5"/>
      <c r="G301" s="5"/>
      <c r="H301" s="5"/>
      <c r="I301" s="5"/>
      <c r="J301" s="5"/>
      <c r="K301" s="5" t="s">
        <v>2294</v>
      </c>
      <c r="L301" s="5"/>
    </row>
    <row r="302" customFormat="false" ht="15" hidden="false" customHeight="true" outlineLevel="0" collapsed="false">
      <c r="A302" s="5" t="s">
        <v>1403</v>
      </c>
      <c r="B302" s="5" t="s">
        <v>1404</v>
      </c>
      <c r="C302" s="5"/>
      <c r="D302" s="5"/>
      <c r="E302" s="5" t="s">
        <v>42</v>
      </c>
      <c r="F302" s="5"/>
      <c r="G302" s="5"/>
      <c r="H302" s="5"/>
      <c r="I302" s="5"/>
      <c r="J302" s="5"/>
      <c r="K302" s="5" t="s">
        <v>2294</v>
      </c>
      <c r="L302" s="5"/>
    </row>
    <row r="303" customFormat="false" ht="34.5" hidden="false" customHeight="true" outlineLevel="0" collapsed="false">
      <c r="A303" s="5" t="s">
        <v>1407</v>
      </c>
      <c r="B303" s="5" t="s">
        <v>1408</v>
      </c>
      <c r="C303" s="5"/>
      <c r="D303" s="5"/>
      <c r="E303" s="5" t="s">
        <v>42</v>
      </c>
      <c r="F303" s="5"/>
      <c r="G303" s="5"/>
      <c r="H303" s="5"/>
      <c r="I303" s="5"/>
      <c r="J303" s="5"/>
      <c r="K303" s="5" t="s">
        <v>2294</v>
      </c>
      <c r="L303" s="5"/>
    </row>
    <row r="304" customFormat="false" ht="23.25" hidden="false" customHeight="true" outlineLevel="0" collapsed="false">
      <c r="A304" s="5" t="s">
        <v>1411</v>
      </c>
      <c r="B304" s="5" t="s">
        <v>1412</v>
      </c>
      <c r="C304" s="5"/>
      <c r="D304" s="5"/>
      <c r="E304" s="5" t="s">
        <v>42</v>
      </c>
      <c r="F304" s="5"/>
      <c r="G304" s="5"/>
      <c r="H304" s="5"/>
      <c r="I304" s="5"/>
      <c r="J304" s="5"/>
      <c r="K304" s="5" t="s">
        <v>2294</v>
      </c>
      <c r="L304" s="5"/>
    </row>
    <row r="305" customFormat="false" ht="23.25" hidden="false" customHeight="true" outlineLevel="0" collapsed="false">
      <c r="A305" s="5" t="s">
        <v>1415</v>
      </c>
      <c r="B305" s="5" t="s">
        <v>1416</v>
      </c>
      <c r="C305" s="5"/>
      <c r="D305" s="5"/>
      <c r="E305" s="5" t="s">
        <v>44</v>
      </c>
      <c r="F305" s="5"/>
      <c r="G305" s="5"/>
      <c r="H305" s="5"/>
      <c r="I305" s="5"/>
      <c r="J305" s="5"/>
      <c r="K305" s="5" t="s">
        <v>2294</v>
      </c>
      <c r="L305" s="5"/>
    </row>
    <row r="306" customFormat="false" ht="23.25" hidden="false" customHeight="true" outlineLevel="0" collapsed="false">
      <c r="A306" s="5" t="s">
        <v>1419</v>
      </c>
      <c r="B306" s="5" t="s">
        <v>1420</v>
      </c>
      <c r="C306" s="5"/>
      <c r="D306" s="5"/>
      <c r="E306" s="5" t="s">
        <v>44</v>
      </c>
      <c r="F306" s="5"/>
      <c r="G306" s="5"/>
      <c r="H306" s="5"/>
      <c r="I306" s="5"/>
      <c r="J306" s="5"/>
      <c r="K306" s="5" t="s">
        <v>2294</v>
      </c>
      <c r="L306" s="5"/>
    </row>
    <row r="307" customFormat="false" ht="15" hidden="false" customHeight="true" outlineLevel="0" collapsed="false">
      <c r="A307" s="5" t="s">
        <v>1423</v>
      </c>
      <c r="B307" s="5" t="s">
        <v>1424</v>
      </c>
      <c r="C307" s="5"/>
      <c r="D307" s="5"/>
      <c r="E307" s="5" t="s">
        <v>42</v>
      </c>
      <c r="F307" s="5"/>
      <c r="G307" s="5"/>
      <c r="H307" s="5"/>
      <c r="I307" s="5"/>
      <c r="J307" s="5"/>
      <c r="K307" s="5" t="s">
        <v>2294</v>
      </c>
      <c r="L307" s="5"/>
    </row>
    <row r="308" customFormat="false" ht="23.25" hidden="false" customHeight="true" outlineLevel="0" collapsed="false">
      <c r="A308" s="5" t="s">
        <v>1429</v>
      </c>
      <c r="B308" s="5" t="s">
        <v>1430</v>
      </c>
      <c r="C308" s="5"/>
      <c r="D308" s="5"/>
      <c r="E308" s="5" t="s">
        <v>42</v>
      </c>
      <c r="F308" s="5"/>
      <c r="G308" s="5"/>
      <c r="H308" s="5"/>
      <c r="I308" s="5"/>
      <c r="J308" s="5"/>
      <c r="K308" s="5" t="s">
        <v>2294</v>
      </c>
      <c r="L308" s="5"/>
    </row>
    <row r="309" customFormat="false" ht="23.25" hidden="false" customHeight="true" outlineLevel="0" collapsed="false">
      <c r="A309" s="5" t="s">
        <v>1433</v>
      </c>
      <c r="B309" s="5" t="s">
        <v>1434</v>
      </c>
      <c r="C309" s="5"/>
      <c r="D309" s="5"/>
      <c r="E309" s="5" t="s">
        <v>44</v>
      </c>
      <c r="F309" s="5"/>
      <c r="G309" s="5"/>
      <c r="H309" s="5"/>
      <c r="I309" s="5"/>
      <c r="J309" s="5"/>
      <c r="K309" s="5" t="s">
        <v>2294</v>
      </c>
      <c r="L309" s="5"/>
    </row>
    <row r="310" customFormat="false" ht="23.25" hidden="false" customHeight="true" outlineLevel="0" collapsed="false">
      <c r="A310" s="5" t="s">
        <v>1437</v>
      </c>
      <c r="B310" s="5" t="s">
        <v>1438</v>
      </c>
      <c r="C310" s="5"/>
      <c r="D310" s="5"/>
      <c r="E310" s="5" t="s">
        <v>44</v>
      </c>
      <c r="F310" s="5"/>
      <c r="G310" s="5"/>
      <c r="H310" s="5"/>
      <c r="I310" s="5"/>
      <c r="J310" s="5"/>
      <c r="K310" s="5" t="s">
        <v>2294</v>
      </c>
      <c r="L310" s="5"/>
    </row>
    <row r="311" customFormat="false" ht="23.25" hidden="false" customHeight="true" outlineLevel="0" collapsed="false">
      <c r="A311" s="5" t="s">
        <v>1441</v>
      </c>
      <c r="B311" s="5" t="s">
        <v>1442</v>
      </c>
      <c r="C311" s="5"/>
      <c r="D311" s="5"/>
      <c r="E311" s="5" t="s">
        <v>44</v>
      </c>
      <c r="F311" s="5"/>
      <c r="G311" s="5"/>
      <c r="H311" s="5"/>
      <c r="I311" s="5"/>
      <c r="J311" s="5"/>
      <c r="K311" s="5" t="s">
        <v>2294</v>
      </c>
      <c r="L311" s="5"/>
    </row>
    <row r="312" customFormat="false" ht="15" hidden="false" customHeight="true" outlineLevel="0" collapsed="false">
      <c r="A312" s="5" t="s">
        <v>1445</v>
      </c>
      <c r="B312" s="5" t="s">
        <v>1446</v>
      </c>
      <c r="C312" s="5"/>
      <c r="D312" s="5"/>
      <c r="E312" s="5" t="s">
        <v>44</v>
      </c>
      <c r="F312" s="5"/>
      <c r="G312" s="5"/>
      <c r="H312" s="5"/>
      <c r="I312" s="5"/>
      <c r="J312" s="5"/>
      <c r="K312" s="5" t="s">
        <v>2294</v>
      </c>
      <c r="L312" s="5"/>
    </row>
    <row r="313" customFormat="false" ht="23.25" hidden="false" customHeight="true" outlineLevel="0" collapsed="false">
      <c r="A313" s="5" t="s">
        <v>1449</v>
      </c>
      <c r="B313" s="5" t="s">
        <v>1450</v>
      </c>
      <c r="C313" s="5"/>
      <c r="D313" s="5"/>
      <c r="E313" s="5" t="s">
        <v>44</v>
      </c>
      <c r="F313" s="5"/>
      <c r="G313" s="5"/>
      <c r="H313" s="5"/>
      <c r="I313" s="5"/>
      <c r="J313" s="5"/>
      <c r="K313" s="5" t="s">
        <v>2294</v>
      </c>
      <c r="L313" s="5"/>
    </row>
    <row r="314" customFormat="false" ht="23.25" hidden="false" customHeight="true" outlineLevel="0" collapsed="false">
      <c r="A314" s="5" t="s">
        <v>1453</v>
      </c>
      <c r="B314" s="5" t="s">
        <v>1454</v>
      </c>
      <c r="C314" s="5"/>
      <c r="D314" s="5"/>
      <c r="E314" s="5" t="s">
        <v>44</v>
      </c>
      <c r="F314" s="5"/>
      <c r="G314" s="5"/>
      <c r="H314" s="5"/>
      <c r="I314" s="5"/>
      <c r="J314" s="5"/>
      <c r="K314" s="5" t="s">
        <v>2294</v>
      </c>
      <c r="L314" s="5"/>
    </row>
    <row r="315" customFormat="false" ht="23.25" hidden="false" customHeight="true" outlineLevel="0" collapsed="false">
      <c r="A315" s="5" t="s">
        <v>1457</v>
      </c>
      <c r="B315" s="5" t="s">
        <v>1458</v>
      </c>
      <c r="C315" s="5"/>
      <c r="D315" s="5"/>
      <c r="E315" s="5" t="s">
        <v>44</v>
      </c>
      <c r="F315" s="5"/>
      <c r="G315" s="5"/>
      <c r="H315" s="5"/>
      <c r="I315" s="5"/>
      <c r="J315" s="5"/>
      <c r="K315" s="5" t="s">
        <v>2294</v>
      </c>
      <c r="L315" s="5"/>
    </row>
    <row r="316" customFormat="false" ht="15" hidden="false" customHeight="true" outlineLevel="0" collapsed="false">
      <c r="A316" s="5" t="s">
        <v>1461</v>
      </c>
      <c r="B316" s="5" t="s">
        <v>1462</v>
      </c>
      <c r="C316" s="5"/>
      <c r="D316" s="5"/>
      <c r="E316" s="5" t="s">
        <v>44</v>
      </c>
      <c r="F316" s="5"/>
      <c r="G316" s="5"/>
      <c r="H316" s="5"/>
      <c r="I316" s="5"/>
      <c r="J316" s="5"/>
      <c r="K316" s="5" t="s">
        <v>2294</v>
      </c>
      <c r="L316" s="5"/>
    </row>
    <row r="317" customFormat="false" ht="15" hidden="false" customHeight="true" outlineLevel="0" collapsed="false">
      <c r="A317" s="5" t="s">
        <v>1465</v>
      </c>
      <c r="B317" s="5" t="s">
        <v>1466</v>
      </c>
      <c r="C317" s="5"/>
      <c r="D317" s="5"/>
      <c r="E317" s="5" t="s">
        <v>42</v>
      </c>
      <c r="F317" s="5"/>
      <c r="G317" s="5"/>
      <c r="H317" s="5"/>
      <c r="I317" s="5"/>
      <c r="J317" s="5"/>
      <c r="K317" s="5" t="s">
        <v>2294</v>
      </c>
      <c r="L317" s="5"/>
    </row>
    <row r="318" customFormat="false" ht="23.25" hidden="false" customHeight="true" outlineLevel="0" collapsed="false">
      <c r="A318" s="5" t="s">
        <v>1470</v>
      </c>
      <c r="B318" s="5" t="s">
        <v>1471</v>
      </c>
      <c r="C318" s="5"/>
      <c r="D318" s="5"/>
      <c r="E318" s="5" t="s">
        <v>42</v>
      </c>
      <c r="F318" s="5"/>
      <c r="G318" s="5"/>
      <c r="H318" s="5"/>
      <c r="I318" s="5"/>
      <c r="J318" s="5"/>
      <c r="K318" s="5" t="s">
        <v>2294</v>
      </c>
      <c r="L318" s="5"/>
    </row>
    <row r="319" customFormat="false" ht="23.25" hidden="false" customHeight="true" outlineLevel="0" collapsed="false">
      <c r="A319" s="5" t="s">
        <v>1474</v>
      </c>
      <c r="B319" s="5" t="s">
        <v>1475</v>
      </c>
      <c r="C319" s="5"/>
      <c r="D319" s="5"/>
      <c r="E319" s="5" t="s">
        <v>42</v>
      </c>
      <c r="F319" s="5"/>
      <c r="G319" s="5"/>
      <c r="H319" s="5"/>
      <c r="I319" s="5"/>
      <c r="J319" s="5"/>
      <c r="K319" s="5" t="s">
        <v>2294</v>
      </c>
      <c r="L319" s="5"/>
    </row>
    <row r="320" customFormat="false" ht="23.25" hidden="false" customHeight="true" outlineLevel="0" collapsed="false">
      <c r="A320" s="5" t="s">
        <v>1478</v>
      </c>
      <c r="B320" s="5" t="s">
        <v>1479</v>
      </c>
      <c r="C320" s="5"/>
      <c r="D320" s="5"/>
      <c r="E320" s="5" t="s">
        <v>42</v>
      </c>
      <c r="F320" s="5"/>
      <c r="G320" s="5"/>
      <c r="H320" s="5"/>
      <c r="I320" s="5"/>
      <c r="J320" s="5"/>
      <c r="K320" s="5" t="s">
        <v>2294</v>
      </c>
      <c r="L320" s="5"/>
    </row>
    <row r="321" customFormat="false" ht="23.25" hidden="false" customHeight="true" outlineLevel="0" collapsed="false">
      <c r="A321" s="5" t="s">
        <v>1482</v>
      </c>
      <c r="B321" s="5" t="s">
        <v>1483</v>
      </c>
      <c r="C321" s="5"/>
      <c r="D321" s="5"/>
      <c r="E321" s="5" t="s">
        <v>42</v>
      </c>
      <c r="F321" s="5"/>
      <c r="G321" s="5"/>
      <c r="H321" s="5"/>
      <c r="I321" s="5"/>
      <c r="J321" s="5"/>
      <c r="K321" s="5" t="s">
        <v>2294</v>
      </c>
      <c r="L321" s="5"/>
    </row>
    <row r="322" customFormat="false" ht="23.25" hidden="false" customHeight="true" outlineLevel="0" collapsed="false">
      <c r="A322" s="5" t="s">
        <v>1486</v>
      </c>
      <c r="B322" s="5" t="s">
        <v>1487</v>
      </c>
      <c r="C322" s="5"/>
      <c r="D322" s="5"/>
      <c r="E322" s="5" t="s">
        <v>42</v>
      </c>
      <c r="F322" s="5"/>
      <c r="G322" s="5"/>
      <c r="H322" s="5"/>
      <c r="I322" s="5"/>
      <c r="J322" s="5"/>
      <c r="K322" s="5" t="s">
        <v>2294</v>
      </c>
      <c r="L322" s="5"/>
    </row>
    <row r="323" customFormat="false" ht="23.25" hidden="false" customHeight="true" outlineLevel="0" collapsed="false">
      <c r="A323" s="5" t="s">
        <v>1490</v>
      </c>
      <c r="B323" s="5" t="s">
        <v>1491</v>
      </c>
      <c r="C323" s="5"/>
      <c r="D323" s="5"/>
      <c r="E323" s="5" t="s">
        <v>44</v>
      </c>
      <c r="F323" s="5"/>
      <c r="G323" s="5"/>
      <c r="H323" s="5"/>
      <c r="I323" s="5"/>
      <c r="J323" s="5"/>
      <c r="K323" s="5" t="s">
        <v>2294</v>
      </c>
      <c r="L323" s="5"/>
    </row>
    <row r="324" customFormat="false" ht="15" hidden="false" customHeight="true" outlineLevel="0" collapsed="false">
      <c r="A324" s="5" t="s">
        <v>1494</v>
      </c>
      <c r="B324" s="5" t="s">
        <v>1495</v>
      </c>
      <c r="C324" s="5"/>
      <c r="D324" s="5"/>
      <c r="E324" s="5" t="s">
        <v>42</v>
      </c>
      <c r="F324" s="5"/>
      <c r="G324" s="5"/>
      <c r="H324" s="5"/>
      <c r="I324" s="5"/>
      <c r="J324" s="5"/>
      <c r="K324" s="5" t="s">
        <v>2294</v>
      </c>
      <c r="L324" s="5"/>
    </row>
    <row r="325" customFormat="false" ht="23.25" hidden="false" customHeight="true" outlineLevel="0" collapsed="false">
      <c r="A325" s="5" t="s">
        <v>1496</v>
      </c>
      <c r="B325" s="5" t="s">
        <v>1497</v>
      </c>
      <c r="C325" s="5"/>
      <c r="D325" s="5"/>
      <c r="E325" s="5" t="s">
        <v>42</v>
      </c>
      <c r="F325" s="5"/>
      <c r="G325" s="5"/>
      <c r="H325" s="5"/>
      <c r="I325" s="5"/>
      <c r="J325" s="5"/>
      <c r="K325" s="5" t="s">
        <v>2294</v>
      </c>
      <c r="L325" s="5"/>
    </row>
    <row r="326" customFormat="false" ht="23.25" hidden="false" customHeight="true" outlineLevel="0" collapsed="false">
      <c r="A326" s="5" t="s">
        <v>1500</v>
      </c>
      <c r="B326" s="5" t="s">
        <v>1501</v>
      </c>
      <c r="C326" s="5"/>
      <c r="D326" s="5"/>
      <c r="E326" s="5" t="s">
        <v>42</v>
      </c>
      <c r="F326" s="5"/>
      <c r="G326" s="5"/>
      <c r="H326" s="5"/>
      <c r="I326" s="5"/>
      <c r="J326" s="5"/>
      <c r="K326" s="5" t="s">
        <v>2294</v>
      </c>
      <c r="L326" s="5"/>
    </row>
    <row r="327" customFormat="false" ht="23.25" hidden="false" customHeight="true" outlineLevel="0" collapsed="false">
      <c r="A327" s="5" t="s">
        <v>1505</v>
      </c>
      <c r="B327" s="5" t="s">
        <v>1506</v>
      </c>
      <c r="C327" s="5"/>
      <c r="D327" s="5"/>
      <c r="E327" s="5" t="s">
        <v>44</v>
      </c>
      <c r="F327" s="5"/>
      <c r="G327" s="5"/>
      <c r="H327" s="5"/>
      <c r="I327" s="5"/>
      <c r="J327" s="5"/>
      <c r="K327" s="5" t="s">
        <v>2294</v>
      </c>
      <c r="L327" s="5"/>
    </row>
    <row r="328" customFormat="false" ht="15" hidden="false" customHeight="true" outlineLevel="0" collapsed="false">
      <c r="A328" s="5" t="s">
        <v>1509</v>
      </c>
      <c r="B328" s="5" t="s">
        <v>1510</v>
      </c>
      <c r="C328" s="5"/>
      <c r="D328" s="5"/>
      <c r="E328" s="5" t="s">
        <v>44</v>
      </c>
      <c r="F328" s="5"/>
      <c r="G328" s="5"/>
      <c r="H328" s="5"/>
      <c r="I328" s="5"/>
      <c r="J328" s="5"/>
      <c r="K328" s="5" t="s">
        <v>2294</v>
      </c>
      <c r="L328" s="5"/>
    </row>
    <row r="329" customFormat="false" ht="23.25" hidden="false" customHeight="true" outlineLevel="0" collapsed="false">
      <c r="A329" s="5" t="s">
        <v>1513</v>
      </c>
      <c r="B329" s="5" t="s">
        <v>1514</v>
      </c>
      <c r="C329" s="5"/>
      <c r="D329" s="5"/>
      <c r="E329" s="5" t="s">
        <v>44</v>
      </c>
      <c r="F329" s="5"/>
      <c r="G329" s="5"/>
      <c r="H329" s="5"/>
      <c r="I329" s="5"/>
      <c r="J329" s="5"/>
      <c r="K329" s="5" t="s">
        <v>2294</v>
      </c>
      <c r="L329" s="5"/>
    </row>
    <row r="330" customFormat="false" ht="23.25" hidden="false" customHeight="true" outlineLevel="0" collapsed="false">
      <c r="A330" s="5" t="s">
        <v>1517</v>
      </c>
      <c r="B330" s="5" t="s">
        <v>1518</v>
      </c>
      <c r="C330" s="5"/>
      <c r="D330" s="5"/>
      <c r="E330" s="5" t="s">
        <v>44</v>
      </c>
      <c r="F330" s="5"/>
      <c r="G330" s="5"/>
      <c r="H330" s="5"/>
      <c r="I330" s="5"/>
      <c r="J330" s="5"/>
      <c r="K330" s="5" t="s">
        <v>2294</v>
      </c>
      <c r="L330" s="5"/>
    </row>
    <row r="331" customFormat="false" ht="23.25" hidden="false" customHeight="true" outlineLevel="0" collapsed="false">
      <c r="A331" s="5" t="s">
        <v>1522</v>
      </c>
      <c r="B331" s="5" t="s">
        <v>1523</v>
      </c>
      <c r="C331" s="5"/>
      <c r="D331" s="5"/>
      <c r="E331" s="5" t="s">
        <v>42</v>
      </c>
      <c r="F331" s="5"/>
      <c r="G331" s="5"/>
      <c r="H331" s="5"/>
      <c r="I331" s="5"/>
      <c r="J331" s="5"/>
      <c r="K331" s="5" t="s">
        <v>2294</v>
      </c>
      <c r="L331" s="5"/>
    </row>
    <row r="332" customFormat="false" ht="23.25" hidden="false" customHeight="true" outlineLevel="0" collapsed="false">
      <c r="A332" s="5" t="s">
        <v>1529</v>
      </c>
      <c r="B332" s="5" t="s">
        <v>1530</v>
      </c>
      <c r="C332" s="5"/>
      <c r="D332" s="5"/>
      <c r="E332" s="5" t="s">
        <v>42</v>
      </c>
      <c r="F332" s="5"/>
      <c r="G332" s="5"/>
      <c r="H332" s="5"/>
      <c r="I332" s="5"/>
      <c r="J332" s="5"/>
      <c r="K332" s="5" t="s">
        <v>2294</v>
      </c>
      <c r="L332" s="5"/>
    </row>
    <row r="333" customFormat="false" ht="23.25" hidden="false" customHeight="true" outlineLevel="0" collapsed="false">
      <c r="A333" s="5" t="s">
        <v>1536</v>
      </c>
      <c r="B333" s="5" t="s">
        <v>1537</v>
      </c>
      <c r="C333" s="5"/>
      <c r="D333" s="5"/>
      <c r="E333" s="5" t="s">
        <v>44</v>
      </c>
      <c r="F333" s="5"/>
      <c r="G333" s="5"/>
      <c r="H333" s="5"/>
      <c r="I333" s="5"/>
      <c r="J333" s="5"/>
      <c r="K333" s="5" t="s">
        <v>2294</v>
      </c>
      <c r="L333" s="5"/>
    </row>
    <row r="334" customFormat="false" ht="34.5" hidden="false" customHeight="true" outlineLevel="0" collapsed="false">
      <c r="A334" s="5" t="s">
        <v>1538</v>
      </c>
      <c r="B334" s="5" t="s">
        <v>1539</v>
      </c>
      <c r="C334" s="5"/>
      <c r="D334" s="5"/>
      <c r="E334" s="5" t="s">
        <v>42</v>
      </c>
      <c r="F334" s="5"/>
      <c r="G334" s="5"/>
      <c r="H334" s="5"/>
      <c r="I334" s="5"/>
      <c r="J334" s="5"/>
      <c r="K334" s="5" t="s">
        <v>2294</v>
      </c>
      <c r="L334" s="5"/>
    </row>
    <row r="335" customFormat="false" ht="23.25" hidden="false" customHeight="true" outlineLevel="0" collapsed="false">
      <c r="A335" s="5" t="s">
        <v>1542</v>
      </c>
      <c r="B335" s="5" t="s">
        <v>1543</v>
      </c>
      <c r="C335" s="5"/>
      <c r="D335" s="5"/>
      <c r="E335" s="5" t="s">
        <v>44</v>
      </c>
      <c r="F335" s="5"/>
      <c r="G335" s="5"/>
      <c r="H335" s="5"/>
      <c r="I335" s="5"/>
      <c r="J335" s="5"/>
      <c r="K335" s="5" t="s">
        <v>2294</v>
      </c>
      <c r="L335" s="5"/>
    </row>
    <row r="336" customFormat="false" ht="23.25" hidden="false" customHeight="true" outlineLevel="0" collapsed="false">
      <c r="A336" s="5" t="s">
        <v>1546</v>
      </c>
      <c r="B336" s="5" t="s">
        <v>1547</v>
      </c>
      <c r="C336" s="5"/>
      <c r="D336" s="5"/>
      <c r="E336" s="5" t="s">
        <v>44</v>
      </c>
      <c r="F336" s="5"/>
      <c r="G336" s="5"/>
      <c r="H336" s="5"/>
      <c r="I336" s="5"/>
      <c r="J336" s="5"/>
      <c r="K336" s="5" t="s">
        <v>2294</v>
      </c>
      <c r="L336" s="5"/>
    </row>
    <row r="337" customFormat="false" ht="15" hidden="false" customHeight="true" outlineLevel="0" collapsed="false">
      <c r="A337" s="5" t="s">
        <v>1550</v>
      </c>
      <c r="B337" s="5" t="s">
        <v>1551</v>
      </c>
      <c r="C337" s="5"/>
      <c r="D337" s="5"/>
      <c r="E337" s="5" t="s">
        <v>44</v>
      </c>
      <c r="F337" s="5"/>
      <c r="G337" s="5"/>
      <c r="H337" s="5"/>
      <c r="I337" s="5"/>
      <c r="J337" s="5"/>
      <c r="K337" s="5" t="s">
        <v>2294</v>
      </c>
      <c r="L337" s="5"/>
    </row>
    <row r="338" customFormat="false" ht="23.25" hidden="false" customHeight="true" outlineLevel="0" collapsed="false">
      <c r="A338" s="5" t="s">
        <v>1554</v>
      </c>
      <c r="B338" s="5" t="s">
        <v>1555</v>
      </c>
      <c r="C338" s="5"/>
      <c r="D338" s="5"/>
      <c r="E338" s="5" t="s">
        <v>44</v>
      </c>
      <c r="F338" s="5"/>
      <c r="G338" s="5"/>
      <c r="H338" s="5"/>
      <c r="I338" s="5"/>
      <c r="J338" s="5"/>
      <c r="K338" s="5" t="s">
        <v>2294</v>
      </c>
      <c r="L338" s="5"/>
    </row>
    <row r="339" customFormat="false" ht="23.25" hidden="false" customHeight="true" outlineLevel="0" collapsed="false">
      <c r="A339" s="5" t="s">
        <v>1561</v>
      </c>
      <c r="B339" s="5" t="s">
        <v>1562</v>
      </c>
      <c r="C339" s="5"/>
      <c r="D339" s="5"/>
      <c r="E339" s="5" t="s">
        <v>44</v>
      </c>
      <c r="F339" s="5"/>
      <c r="G339" s="5"/>
      <c r="H339" s="5"/>
      <c r="I339" s="5"/>
      <c r="J339" s="5"/>
      <c r="K339" s="5" t="s">
        <v>2294</v>
      </c>
      <c r="L339" s="5"/>
    </row>
    <row r="340" customFormat="false" ht="23.25" hidden="false" customHeight="true" outlineLevel="0" collapsed="false">
      <c r="A340" s="5" t="s">
        <v>1568</v>
      </c>
      <c r="B340" s="5" t="s">
        <v>1569</v>
      </c>
      <c r="C340" s="5"/>
      <c r="D340" s="5"/>
      <c r="E340" s="5" t="s">
        <v>42</v>
      </c>
      <c r="F340" s="5"/>
      <c r="G340" s="5"/>
      <c r="H340" s="5"/>
      <c r="I340" s="5"/>
      <c r="J340" s="5"/>
      <c r="K340" s="5" t="s">
        <v>2294</v>
      </c>
      <c r="L340" s="5"/>
    </row>
    <row r="341" customFormat="false" ht="34.5" hidden="false" customHeight="true" outlineLevel="0" collapsed="false">
      <c r="A341" s="5" t="s">
        <v>1575</v>
      </c>
      <c r="B341" s="5" t="s">
        <v>1576</v>
      </c>
      <c r="C341" s="5"/>
      <c r="D341" s="5"/>
      <c r="E341" s="5" t="s">
        <v>42</v>
      </c>
      <c r="F341" s="5"/>
      <c r="G341" s="5"/>
      <c r="H341" s="5"/>
      <c r="I341" s="5"/>
      <c r="J341" s="5"/>
      <c r="K341" s="5" t="s">
        <v>2294</v>
      </c>
      <c r="L341" s="5"/>
    </row>
    <row r="342" customFormat="false" ht="34.5" hidden="false" customHeight="true" outlineLevel="0" collapsed="false">
      <c r="A342" s="5" t="s">
        <v>1579</v>
      </c>
      <c r="B342" s="5" t="s">
        <v>1580</v>
      </c>
      <c r="C342" s="5"/>
      <c r="D342" s="5"/>
      <c r="E342" s="5" t="s">
        <v>42</v>
      </c>
      <c r="F342" s="5"/>
      <c r="G342" s="5"/>
      <c r="H342" s="5"/>
      <c r="I342" s="5"/>
      <c r="J342" s="5"/>
      <c r="K342" s="5" t="s">
        <v>2294</v>
      </c>
      <c r="L342" s="5"/>
    </row>
    <row r="343" customFormat="false" ht="15" hidden="false" customHeight="true" outlineLevel="0" collapsed="false">
      <c r="A343" s="5" t="s">
        <v>1583</v>
      </c>
      <c r="B343" s="5" t="s">
        <v>1584</v>
      </c>
      <c r="C343" s="5"/>
      <c r="D343" s="5"/>
      <c r="E343" s="5" t="s">
        <v>44</v>
      </c>
      <c r="F343" s="5"/>
      <c r="G343" s="5"/>
      <c r="H343" s="5"/>
      <c r="I343" s="5"/>
      <c r="J343" s="5"/>
      <c r="K343" s="5" t="s">
        <v>2294</v>
      </c>
      <c r="L343" s="5"/>
    </row>
    <row r="344" customFormat="false" ht="23.25" hidden="false" customHeight="true" outlineLevel="0" collapsed="false">
      <c r="A344" s="5" t="s">
        <v>1587</v>
      </c>
      <c r="B344" s="5" t="s">
        <v>1588</v>
      </c>
      <c r="C344" s="5"/>
      <c r="D344" s="5"/>
      <c r="E344" s="5" t="s">
        <v>44</v>
      </c>
      <c r="F344" s="5"/>
      <c r="G344" s="5"/>
      <c r="H344" s="5"/>
      <c r="I344" s="5"/>
      <c r="J344" s="5"/>
      <c r="K344" s="5" t="s">
        <v>2294</v>
      </c>
      <c r="L344" s="5"/>
    </row>
    <row r="345" customFormat="false" ht="15" hidden="false" customHeight="true" outlineLevel="0" collapsed="false">
      <c r="A345" s="5" t="s">
        <v>1591</v>
      </c>
      <c r="B345" s="5" t="s">
        <v>1592</v>
      </c>
      <c r="C345" s="5"/>
      <c r="D345" s="5"/>
      <c r="E345" s="5" t="s">
        <v>44</v>
      </c>
      <c r="F345" s="5"/>
      <c r="G345" s="5"/>
      <c r="H345" s="5"/>
      <c r="I345" s="5"/>
      <c r="J345" s="5"/>
      <c r="K345" s="5" t="s">
        <v>2294</v>
      </c>
      <c r="L345" s="5"/>
    </row>
    <row r="346" customFormat="false" ht="15" hidden="false" customHeight="true" outlineLevel="0" collapsed="false">
      <c r="A346" s="5" t="s">
        <v>1593</v>
      </c>
      <c r="B346" s="5" t="s">
        <v>1594</v>
      </c>
      <c r="C346" s="5"/>
      <c r="D346" s="5"/>
      <c r="E346" s="5" t="s">
        <v>44</v>
      </c>
      <c r="F346" s="5"/>
      <c r="G346" s="5"/>
      <c r="H346" s="5"/>
      <c r="I346" s="5"/>
      <c r="J346" s="5"/>
      <c r="K346" s="5" t="s">
        <v>2294</v>
      </c>
      <c r="L346" s="5"/>
    </row>
    <row r="347" customFormat="false" ht="23.25" hidden="false" customHeight="true" outlineLevel="0" collapsed="false">
      <c r="A347" s="5" t="s">
        <v>1597</v>
      </c>
      <c r="B347" s="5" t="s">
        <v>1598</v>
      </c>
      <c r="C347" s="5"/>
      <c r="D347" s="5"/>
      <c r="E347" s="5" t="s">
        <v>42</v>
      </c>
      <c r="F347" s="5"/>
      <c r="G347" s="5"/>
      <c r="H347" s="5"/>
      <c r="I347" s="5"/>
      <c r="J347" s="5"/>
      <c r="K347" s="5" t="s">
        <v>2294</v>
      </c>
      <c r="L347" s="5"/>
    </row>
    <row r="348" customFormat="false" ht="23.25" hidden="false" customHeight="true" outlineLevel="0" collapsed="false">
      <c r="A348" s="5" t="s">
        <v>1604</v>
      </c>
      <c r="B348" s="5" t="s">
        <v>1605</v>
      </c>
      <c r="C348" s="5"/>
      <c r="D348" s="5"/>
      <c r="E348" s="5" t="s">
        <v>44</v>
      </c>
      <c r="F348" s="5"/>
      <c r="G348" s="5"/>
      <c r="H348" s="5"/>
      <c r="I348" s="5"/>
      <c r="J348" s="5"/>
      <c r="K348" s="5" t="s">
        <v>2294</v>
      </c>
      <c r="L348" s="5"/>
    </row>
    <row r="349" customFormat="false" ht="15" hidden="false" customHeight="true" outlineLevel="0" collapsed="false">
      <c r="A349" s="5" t="s">
        <v>1608</v>
      </c>
      <c r="B349" s="5" t="s">
        <v>1609</v>
      </c>
      <c r="C349" s="5"/>
      <c r="D349" s="5"/>
      <c r="E349" s="5" t="s">
        <v>44</v>
      </c>
      <c r="F349" s="5"/>
      <c r="G349" s="5"/>
      <c r="H349" s="5"/>
      <c r="I349" s="5"/>
      <c r="J349" s="5"/>
      <c r="K349" s="5" t="s">
        <v>2294</v>
      </c>
      <c r="L349" s="5"/>
    </row>
    <row r="350" customFormat="false" ht="23.25" hidden="false" customHeight="true" outlineLevel="0" collapsed="false">
      <c r="A350" s="5" t="s">
        <v>1612</v>
      </c>
      <c r="B350" s="5" t="s">
        <v>1613</v>
      </c>
      <c r="C350" s="5"/>
      <c r="D350" s="5"/>
      <c r="E350" s="5" t="s">
        <v>42</v>
      </c>
      <c r="F350" s="5"/>
      <c r="G350" s="5"/>
      <c r="H350" s="5"/>
      <c r="I350" s="5"/>
      <c r="J350" s="5"/>
      <c r="K350" s="5" t="s">
        <v>2294</v>
      </c>
      <c r="L350" s="5"/>
    </row>
    <row r="351" customFormat="false" ht="23.25" hidden="false" customHeight="true" outlineLevel="0" collapsed="false">
      <c r="A351" s="5" t="s">
        <v>1614</v>
      </c>
      <c r="B351" s="5" t="s">
        <v>1615</v>
      </c>
      <c r="C351" s="5"/>
      <c r="D351" s="5"/>
      <c r="E351" s="5" t="s">
        <v>44</v>
      </c>
      <c r="F351" s="5"/>
      <c r="G351" s="5"/>
      <c r="H351" s="5"/>
      <c r="I351" s="5"/>
      <c r="J351" s="5"/>
      <c r="K351" s="5" t="s">
        <v>2294</v>
      </c>
      <c r="L351" s="5"/>
    </row>
    <row r="352" customFormat="false" ht="15" hidden="false" customHeight="true" outlineLevel="0" collapsed="false">
      <c r="A352" s="5" t="s">
        <v>1621</v>
      </c>
      <c r="B352" s="5" t="s">
        <v>1622</v>
      </c>
      <c r="C352" s="5"/>
      <c r="D352" s="5"/>
      <c r="E352" s="5" t="s">
        <v>44</v>
      </c>
      <c r="F352" s="5"/>
      <c r="G352" s="5"/>
      <c r="H352" s="5"/>
      <c r="I352" s="5"/>
      <c r="J352" s="5"/>
      <c r="K352" s="5" t="s">
        <v>2294</v>
      </c>
      <c r="L352" s="5"/>
    </row>
    <row r="353" customFormat="false" ht="23.25" hidden="false" customHeight="true" outlineLevel="0" collapsed="false">
      <c r="A353" s="5" t="s">
        <v>1625</v>
      </c>
      <c r="B353" s="5" t="s">
        <v>1626</v>
      </c>
      <c r="C353" s="5"/>
      <c r="D353" s="5"/>
      <c r="E353" s="5" t="s">
        <v>44</v>
      </c>
      <c r="F353" s="5"/>
      <c r="G353" s="5"/>
      <c r="H353" s="5"/>
      <c r="I353" s="5"/>
      <c r="J353" s="5"/>
      <c r="K353" s="5" t="s">
        <v>2294</v>
      </c>
      <c r="L353" s="5"/>
    </row>
    <row r="354" customFormat="false" ht="23.25" hidden="false" customHeight="true" outlineLevel="0" collapsed="false">
      <c r="A354" s="5" t="s">
        <v>1629</v>
      </c>
      <c r="B354" s="5" t="s">
        <v>1630</v>
      </c>
      <c r="C354" s="5"/>
      <c r="D354" s="5"/>
      <c r="E354" s="5" t="s">
        <v>42</v>
      </c>
      <c r="F354" s="5"/>
      <c r="G354" s="5"/>
      <c r="H354" s="5"/>
      <c r="I354" s="5"/>
      <c r="J354" s="5"/>
      <c r="K354" s="5" t="s">
        <v>2294</v>
      </c>
      <c r="L354" s="5"/>
    </row>
    <row r="355" customFormat="false" ht="15" hidden="false" customHeight="true" outlineLevel="0" collapsed="false">
      <c r="A355" s="5" t="s">
        <v>1633</v>
      </c>
      <c r="B355" s="5" t="s">
        <v>1634</v>
      </c>
      <c r="C355" s="5"/>
      <c r="D355" s="5"/>
      <c r="E355" s="5" t="s">
        <v>44</v>
      </c>
      <c r="F355" s="5"/>
      <c r="G355" s="5"/>
      <c r="H355" s="5"/>
      <c r="I355" s="5"/>
      <c r="J355" s="5"/>
      <c r="K355" s="5" t="s">
        <v>2294</v>
      </c>
      <c r="L355" s="5"/>
    </row>
    <row r="356" customFormat="false" ht="15" hidden="false" customHeight="true" outlineLevel="0" collapsed="false">
      <c r="A356" s="5" t="s">
        <v>1637</v>
      </c>
      <c r="B356" s="5" t="s">
        <v>1638</v>
      </c>
      <c r="C356" s="5"/>
      <c r="D356" s="5"/>
      <c r="E356" s="5" t="s">
        <v>42</v>
      </c>
      <c r="F356" s="5"/>
      <c r="G356" s="5"/>
      <c r="H356" s="5"/>
      <c r="I356" s="5"/>
      <c r="J356" s="5"/>
      <c r="K356" s="5" t="s">
        <v>2294</v>
      </c>
      <c r="L356" s="5"/>
    </row>
    <row r="357" customFormat="false" ht="23.25" hidden="false" customHeight="true" outlineLevel="0" collapsed="false">
      <c r="A357" s="5" t="s">
        <v>1644</v>
      </c>
      <c r="B357" s="5" t="s">
        <v>1645</v>
      </c>
      <c r="C357" s="5"/>
      <c r="D357" s="5"/>
      <c r="E357" s="5" t="s">
        <v>42</v>
      </c>
      <c r="F357" s="5"/>
      <c r="G357" s="5"/>
      <c r="H357" s="5"/>
      <c r="I357" s="5"/>
      <c r="J357" s="5"/>
      <c r="K357" s="5" t="s">
        <v>2294</v>
      </c>
      <c r="L357" s="5"/>
    </row>
    <row r="358" customFormat="false" ht="23.25" hidden="false" customHeight="true" outlineLevel="0" collapsed="false">
      <c r="A358" s="5" t="s">
        <v>1651</v>
      </c>
      <c r="B358" s="5" t="s">
        <v>1652</v>
      </c>
      <c r="C358" s="5"/>
      <c r="D358" s="5"/>
      <c r="E358" s="5" t="s">
        <v>44</v>
      </c>
      <c r="F358" s="5"/>
      <c r="G358" s="5"/>
      <c r="H358" s="5"/>
      <c r="I358" s="5"/>
      <c r="J358" s="5"/>
      <c r="K358" s="5" t="s">
        <v>2294</v>
      </c>
      <c r="L358" s="5"/>
    </row>
    <row r="359" customFormat="false" ht="23.25" hidden="false" customHeight="true" outlineLevel="0" collapsed="false">
      <c r="A359" s="5" t="s">
        <v>1656</v>
      </c>
      <c r="B359" s="5" t="s">
        <v>1657</v>
      </c>
      <c r="C359" s="5"/>
      <c r="D359" s="5"/>
      <c r="E359" s="5" t="s">
        <v>42</v>
      </c>
      <c r="F359" s="5"/>
      <c r="G359" s="5"/>
      <c r="H359" s="5"/>
      <c r="I359" s="5"/>
      <c r="J359" s="5"/>
      <c r="K359" s="5" t="s">
        <v>2294</v>
      </c>
      <c r="L359" s="5"/>
    </row>
    <row r="360" customFormat="false" ht="23.25" hidden="false" customHeight="true" outlineLevel="0" collapsed="false">
      <c r="A360" s="5" t="s">
        <v>1660</v>
      </c>
      <c r="B360" s="5" t="s">
        <v>1661</v>
      </c>
      <c r="C360" s="5"/>
      <c r="D360" s="5"/>
      <c r="E360" s="5" t="s">
        <v>44</v>
      </c>
      <c r="F360" s="5"/>
      <c r="G360" s="5"/>
      <c r="H360" s="5"/>
      <c r="I360" s="5"/>
      <c r="J360" s="5"/>
      <c r="K360" s="5" t="s">
        <v>2294</v>
      </c>
      <c r="L360" s="5"/>
    </row>
    <row r="361" customFormat="false" ht="23.25" hidden="false" customHeight="true" outlineLevel="0" collapsed="false">
      <c r="A361" s="5" t="s">
        <v>1667</v>
      </c>
      <c r="B361" s="5" t="s">
        <v>1668</v>
      </c>
      <c r="C361" s="5"/>
      <c r="D361" s="5"/>
      <c r="E361" s="5" t="s">
        <v>42</v>
      </c>
      <c r="F361" s="5"/>
      <c r="G361" s="5"/>
      <c r="H361" s="5"/>
      <c r="I361" s="5"/>
      <c r="J361" s="5"/>
      <c r="K361" s="5" t="s">
        <v>2294</v>
      </c>
      <c r="L361" s="5"/>
    </row>
    <row r="362" customFormat="false" ht="15" hidden="false" customHeight="true" outlineLevel="0" collapsed="false">
      <c r="A362" s="5" t="s">
        <v>1671</v>
      </c>
      <c r="B362" s="5" t="s">
        <v>1672</v>
      </c>
      <c r="C362" s="5"/>
      <c r="D362" s="5"/>
      <c r="E362" s="5" t="s">
        <v>42</v>
      </c>
      <c r="F362" s="5"/>
      <c r="G362" s="5"/>
      <c r="H362" s="5"/>
      <c r="I362" s="5"/>
      <c r="J362" s="5"/>
      <c r="K362" s="5" t="s">
        <v>2294</v>
      </c>
      <c r="L362" s="5"/>
    </row>
    <row r="363" customFormat="false" ht="23.25" hidden="false" customHeight="true" outlineLevel="0" collapsed="false">
      <c r="A363" s="5" t="s">
        <v>1678</v>
      </c>
      <c r="B363" s="5" t="s">
        <v>1679</v>
      </c>
      <c r="C363" s="5"/>
      <c r="D363" s="5"/>
      <c r="E363" s="5" t="s">
        <v>44</v>
      </c>
      <c r="F363" s="5"/>
      <c r="G363" s="5"/>
      <c r="H363" s="5"/>
      <c r="I363" s="5"/>
      <c r="J363" s="5"/>
      <c r="K363" s="5" t="s">
        <v>2294</v>
      </c>
      <c r="L363" s="5"/>
    </row>
    <row r="364" customFormat="false" ht="23.25" hidden="false" customHeight="true" outlineLevel="0" collapsed="false">
      <c r="A364" s="5" t="s">
        <v>1682</v>
      </c>
      <c r="B364" s="5" t="s">
        <v>1683</v>
      </c>
      <c r="C364" s="5"/>
      <c r="D364" s="5"/>
      <c r="E364" s="5" t="s">
        <v>42</v>
      </c>
      <c r="F364" s="5"/>
      <c r="G364" s="5"/>
      <c r="H364" s="5"/>
      <c r="I364" s="5"/>
      <c r="J364" s="5"/>
      <c r="K364" s="5" t="s">
        <v>2294</v>
      </c>
      <c r="L364" s="5"/>
    </row>
    <row r="365" customFormat="false" ht="15" hidden="false" customHeight="true" outlineLevel="0" collapsed="false">
      <c r="A365" s="5" t="s">
        <v>1689</v>
      </c>
      <c r="B365" s="5" t="s">
        <v>1690</v>
      </c>
      <c r="C365" s="5"/>
      <c r="D365" s="5"/>
      <c r="E365" s="5" t="s">
        <v>44</v>
      </c>
      <c r="F365" s="5"/>
      <c r="G365" s="5"/>
      <c r="H365" s="5"/>
      <c r="I365" s="5"/>
      <c r="J365" s="5"/>
      <c r="K365" s="5" t="s">
        <v>2294</v>
      </c>
      <c r="L365" s="5"/>
    </row>
    <row r="366" customFormat="false" ht="23.25" hidden="false" customHeight="true" outlineLevel="0" collapsed="false">
      <c r="A366" s="5" t="s">
        <v>1691</v>
      </c>
      <c r="B366" s="5" t="s">
        <v>1692</v>
      </c>
      <c r="C366" s="5"/>
      <c r="D366" s="5"/>
      <c r="E366" s="5" t="s">
        <v>44</v>
      </c>
      <c r="F366" s="5"/>
      <c r="G366" s="5"/>
      <c r="H366" s="5"/>
      <c r="I366" s="5"/>
      <c r="J366" s="5"/>
      <c r="K366" s="5" t="s">
        <v>2294</v>
      </c>
      <c r="L366" s="5"/>
    </row>
    <row r="367" customFormat="false" ht="15" hidden="false" customHeight="true" outlineLevel="0" collapsed="false">
      <c r="A367" s="5" t="s">
        <v>1695</v>
      </c>
      <c r="B367" s="5" t="s">
        <v>1696</v>
      </c>
      <c r="C367" s="5"/>
      <c r="D367" s="5"/>
      <c r="E367" s="5" t="s">
        <v>44</v>
      </c>
      <c r="F367" s="5"/>
      <c r="G367" s="5"/>
      <c r="H367" s="5"/>
      <c r="I367" s="5"/>
      <c r="J367" s="5"/>
      <c r="K367" s="5" t="s">
        <v>2294</v>
      </c>
      <c r="L367" s="5"/>
    </row>
    <row r="368" customFormat="false" ht="34.5" hidden="false" customHeight="true" outlineLevel="0" collapsed="false">
      <c r="A368" s="5" t="s">
        <v>1699</v>
      </c>
      <c r="B368" s="5" t="s">
        <v>1700</v>
      </c>
      <c r="C368" s="5"/>
      <c r="D368" s="5"/>
      <c r="E368" s="5" t="s">
        <v>42</v>
      </c>
      <c r="F368" s="5"/>
      <c r="G368" s="5"/>
      <c r="H368" s="5"/>
      <c r="I368" s="5"/>
      <c r="J368" s="5"/>
      <c r="K368" s="5" t="s">
        <v>2294</v>
      </c>
      <c r="L368" s="5"/>
    </row>
    <row r="369" customFormat="false" ht="23.25" hidden="false" customHeight="true" outlineLevel="0" collapsed="false">
      <c r="A369" s="5" t="s">
        <v>1703</v>
      </c>
      <c r="B369" s="5" t="s">
        <v>1704</v>
      </c>
      <c r="C369" s="5"/>
      <c r="D369" s="5"/>
      <c r="E369" s="5" t="s">
        <v>42</v>
      </c>
      <c r="F369" s="5"/>
      <c r="G369" s="5"/>
      <c r="H369" s="5"/>
      <c r="I369" s="5"/>
      <c r="J369" s="5"/>
      <c r="K369" s="5" t="s">
        <v>2294</v>
      </c>
      <c r="L369" s="5"/>
    </row>
    <row r="370" customFormat="false" ht="15" hidden="false" customHeight="true" outlineLevel="0" collapsed="false">
      <c r="A370" s="5" t="s">
        <v>1710</v>
      </c>
      <c r="B370" s="5" t="s">
        <v>1711</v>
      </c>
      <c r="C370" s="5"/>
      <c r="D370" s="5"/>
      <c r="E370" s="5" t="s">
        <v>42</v>
      </c>
      <c r="F370" s="5"/>
      <c r="G370" s="5"/>
      <c r="H370" s="5"/>
      <c r="I370" s="5"/>
      <c r="J370" s="5"/>
      <c r="K370" s="5" t="s">
        <v>2294</v>
      </c>
      <c r="L370" s="5"/>
    </row>
    <row r="371" customFormat="false" ht="15" hidden="false" customHeight="true" outlineLevel="0" collapsed="false">
      <c r="A371" s="5" t="s">
        <v>1717</v>
      </c>
      <c r="B371" s="5" t="s">
        <v>1718</v>
      </c>
      <c r="C371" s="5"/>
      <c r="D371" s="5"/>
      <c r="E371" s="5" t="s">
        <v>44</v>
      </c>
      <c r="F371" s="5"/>
      <c r="G371" s="5"/>
      <c r="H371" s="5"/>
      <c r="I371" s="5"/>
      <c r="J371" s="5"/>
      <c r="K371" s="5" t="s">
        <v>2294</v>
      </c>
      <c r="L371" s="5"/>
    </row>
    <row r="372" customFormat="false" ht="23.25" hidden="false" customHeight="true" outlineLevel="0" collapsed="false">
      <c r="A372" s="5" t="s">
        <v>1721</v>
      </c>
      <c r="B372" s="5" t="s">
        <v>1722</v>
      </c>
      <c r="C372" s="5"/>
      <c r="D372" s="5"/>
      <c r="E372" s="5" t="s">
        <v>44</v>
      </c>
      <c r="F372" s="5"/>
      <c r="G372" s="5"/>
      <c r="H372" s="5"/>
      <c r="I372" s="5"/>
      <c r="J372" s="5"/>
      <c r="K372" s="5" t="s">
        <v>2294</v>
      </c>
      <c r="L372" s="5"/>
    </row>
    <row r="373" customFormat="false" ht="23.25" hidden="false" customHeight="true" outlineLevel="0" collapsed="false">
      <c r="A373" s="5" t="s">
        <v>1726</v>
      </c>
      <c r="B373" s="5" t="s">
        <v>1727</v>
      </c>
      <c r="C373" s="5"/>
      <c r="D373" s="5"/>
      <c r="E373" s="5" t="s">
        <v>44</v>
      </c>
      <c r="F373" s="5"/>
      <c r="G373" s="5"/>
      <c r="H373" s="5"/>
      <c r="I373" s="5"/>
      <c r="J373" s="5"/>
      <c r="K373" s="5" t="s">
        <v>2294</v>
      </c>
      <c r="L373" s="5"/>
    </row>
    <row r="374" customFormat="false" ht="23.25" hidden="false" customHeight="true" outlineLevel="0" collapsed="false">
      <c r="A374" s="5" t="s">
        <v>1730</v>
      </c>
      <c r="B374" s="5" t="s">
        <v>1731</v>
      </c>
      <c r="C374" s="5"/>
      <c r="D374" s="5"/>
      <c r="E374" s="5" t="s">
        <v>44</v>
      </c>
      <c r="F374" s="5"/>
      <c r="G374" s="5"/>
      <c r="H374" s="5"/>
      <c r="I374" s="5"/>
      <c r="J374" s="5"/>
      <c r="K374" s="5" t="s">
        <v>2294</v>
      </c>
      <c r="L374" s="5"/>
    </row>
    <row r="375" customFormat="false" ht="15" hidden="false" customHeight="true" outlineLevel="0" collapsed="false">
      <c r="A375" s="5" t="s">
        <v>1734</v>
      </c>
      <c r="B375" s="5" t="s">
        <v>1735</v>
      </c>
      <c r="C375" s="5"/>
      <c r="D375" s="5"/>
      <c r="E375" s="5" t="s">
        <v>44</v>
      </c>
      <c r="F375" s="5"/>
      <c r="G375" s="5"/>
      <c r="H375" s="5"/>
      <c r="I375" s="5"/>
      <c r="J375" s="5"/>
      <c r="K375" s="5" t="s">
        <v>2294</v>
      </c>
      <c r="L375" s="5"/>
    </row>
    <row r="376" customFormat="false" ht="23.25" hidden="false" customHeight="true" outlineLevel="0" collapsed="false">
      <c r="A376" s="5" t="s">
        <v>1738</v>
      </c>
      <c r="B376" s="5" t="s">
        <v>1739</v>
      </c>
      <c r="C376" s="5"/>
      <c r="D376" s="5"/>
      <c r="E376" s="5" t="s">
        <v>44</v>
      </c>
      <c r="F376" s="5"/>
      <c r="G376" s="5"/>
      <c r="H376" s="5"/>
      <c r="I376" s="5"/>
      <c r="J376" s="5"/>
      <c r="K376" s="5" t="s">
        <v>2294</v>
      </c>
      <c r="L376" s="5"/>
    </row>
    <row r="377" customFormat="false" ht="23.25" hidden="false" customHeight="true" outlineLevel="0" collapsed="false">
      <c r="A377" s="5" t="s">
        <v>1742</v>
      </c>
      <c r="B377" s="5" t="s">
        <v>1743</v>
      </c>
      <c r="C377" s="5"/>
      <c r="D377" s="5"/>
      <c r="E377" s="5" t="s">
        <v>44</v>
      </c>
      <c r="F377" s="5"/>
      <c r="G377" s="5"/>
      <c r="H377" s="5"/>
      <c r="I377" s="5"/>
      <c r="J377" s="5"/>
      <c r="K377" s="5" t="s">
        <v>2294</v>
      </c>
      <c r="L377" s="5"/>
    </row>
    <row r="378" customFormat="false" ht="23.25" hidden="false" customHeight="true" outlineLevel="0" collapsed="false">
      <c r="A378" s="5" t="s">
        <v>1746</v>
      </c>
      <c r="B378" s="5" t="s">
        <v>1747</v>
      </c>
      <c r="C378" s="5"/>
      <c r="D378" s="5"/>
      <c r="E378" s="5" t="s">
        <v>44</v>
      </c>
      <c r="F378" s="5"/>
      <c r="G378" s="5"/>
      <c r="H378" s="5"/>
      <c r="I378" s="5"/>
      <c r="J378" s="5"/>
      <c r="K378" s="5" t="s">
        <v>2294</v>
      </c>
      <c r="L378" s="5"/>
    </row>
    <row r="379" customFormat="false" ht="23.25" hidden="false" customHeight="true" outlineLevel="0" collapsed="false">
      <c r="A379" s="5" t="s">
        <v>1750</v>
      </c>
      <c r="B379" s="5" t="s">
        <v>1751</v>
      </c>
      <c r="C379" s="5"/>
      <c r="D379" s="5"/>
      <c r="E379" s="5" t="s">
        <v>44</v>
      </c>
      <c r="F379" s="5"/>
      <c r="G379" s="5"/>
      <c r="H379" s="5"/>
      <c r="I379" s="5"/>
      <c r="J379" s="5"/>
      <c r="K379" s="5" t="s">
        <v>2294</v>
      </c>
      <c r="L379" s="5"/>
    </row>
    <row r="380" customFormat="false" ht="23.25" hidden="false" customHeight="true" outlineLevel="0" collapsed="false">
      <c r="A380" s="5" t="s">
        <v>1754</v>
      </c>
      <c r="B380" s="5" t="s">
        <v>1755</v>
      </c>
      <c r="C380" s="5"/>
      <c r="D380" s="5"/>
      <c r="E380" s="5" t="s">
        <v>44</v>
      </c>
      <c r="F380" s="5"/>
      <c r="G380" s="5"/>
      <c r="H380" s="5"/>
      <c r="I380" s="5"/>
      <c r="J380" s="5"/>
      <c r="K380" s="5" t="s">
        <v>2294</v>
      </c>
      <c r="L380" s="5"/>
    </row>
    <row r="381" customFormat="false" ht="23.25" hidden="false" customHeight="true" outlineLevel="0" collapsed="false">
      <c r="A381" s="5" t="s">
        <v>1758</v>
      </c>
      <c r="B381" s="5" t="s">
        <v>1759</v>
      </c>
      <c r="C381" s="5"/>
      <c r="D381" s="5"/>
      <c r="E381" s="5" t="s">
        <v>44</v>
      </c>
      <c r="F381" s="5"/>
      <c r="G381" s="5"/>
      <c r="H381" s="5"/>
      <c r="I381" s="5"/>
      <c r="J381" s="5"/>
      <c r="K381" s="5" t="s">
        <v>2294</v>
      </c>
      <c r="L381" s="5"/>
    </row>
    <row r="382" customFormat="false" ht="15" hidden="false" customHeight="true" outlineLevel="0" collapsed="false">
      <c r="A382" s="5" t="s">
        <v>1762</v>
      </c>
      <c r="B382" s="5" t="s">
        <v>1763</v>
      </c>
      <c r="C382" s="5"/>
      <c r="D382" s="5"/>
      <c r="E382" s="5" t="s">
        <v>42</v>
      </c>
      <c r="F382" s="5"/>
      <c r="G382" s="5"/>
      <c r="H382" s="5"/>
      <c r="I382" s="5"/>
      <c r="J382" s="5"/>
      <c r="K382" s="5" t="s">
        <v>2294</v>
      </c>
      <c r="L382" s="5"/>
    </row>
    <row r="383" customFormat="false" ht="23.25" hidden="false" customHeight="true" outlineLevel="0" collapsed="false">
      <c r="A383" s="5" t="s">
        <v>1766</v>
      </c>
      <c r="B383" s="5" t="s">
        <v>1767</v>
      </c>
      <c r="C383" s="5"/>
      <c r="D383" s="5"/>
      <c r="E383" s="5" t="s">
        <v>44</v>
      </c>
      <c r="F383" s="5"/>
      <c r="G383" s="5"/>
      <c r="H383" s="5"/>
      <c r="I383" s="5"/>
      <c r="J383" s="5"/>
      <c r="K383" s="5" t="s">
        <v>2294</v>
      </c>
      <c r="L383" s="5"/>
    </row>
    <row r="384" customFormat="false" ht="23.25" hidden="false" customHeight="true" outlineLevel="0" collapsed="false">
      <c r="A384" s="5" t="s">
        <v>1770</v>
      </c>
      <c r="B384" s="5" t="s">
        <v>1771</v>
      </c>
      <c r="C384" s="5"/>
      <c r="D384" s="5"/>
      <c r="E384" s="5" t="s">
        <v>44</v>
      </c>
      <c r="F384" s="5"/>
      <c r="G384" s="5"/>
      <c r="H384" s="5"/>
      <c r="I384" s="5"/>
      <c r="J384" s="5"/>
      <c r="K384" s="5" t="s">
        <v>2294</v>
      </c>
      <c r="L384" s="5"/>
    </row>
    <row r="385" customFormat="false" ht="23.25" hidden="false" customHeight="true" outlineLevel="0" collapsed="false">
      <c r="A385" s="5" t="s">
        <v>1774</v>
      </c>
      <c r="B385" s="5" t="s">
        <v>1775</v>
      </c>
      <c r="C385" s="5"/>
      <c r="D385" s="5"/>
      <c r="E385" s="5" t="s">
        <v>44</v>
      </c>
      <c r="F385" s="5"/>
      <c r="G385" s="5"/>
      <c r="H385" s="5"/>
      <c r="I385" s="5"/>
      <c r="J385" s="5"/>
      <c r="K385" s="5" t="s">
        <v>2294</v>
      </c>
      <c r="L385" s="5"/>
    </row>
    <row r="386" customFormat="false" ht="23.25" hidden="false" customHeight="true" outlineLevel="0" collapsed="false">
      <c r="A386" s="5" t="s">
        <v>1776</v>
      </c>
      <c r="B386" s="5" t="s">
        <v>1777</v>
      </c>
      <c r="C386" s="5"/>
      <c r="D386" s="5"/>
      <c r="E386" s="5" t="s">
        <v>44</v>
      </c>
      <c r="F386" s="5"/>
      <c r="G386" s="5"/>
      <c r="H386" s="5"/>
      <c r="I386" s="5"/>
      <c r="J386" s="5"/>
      <c r="K386" s="5" t="s">
        <v>2294</v>
      </c>
      <c r="L386" s="5"/>
    </row>
    <row r="387" customFormat="false" ht="15" hidden="false" customHeight="true" outlineLevel="0" collapsed="false">
      <c r="A387" s="5" t="s">
        <v>1780</v>
      </c>
      <c r="B387" s="5" t="s">
        <v>1781</v>
      </c>
      <c r="C387" s="5"/>
      <c r="D387" s="5"/>
      <c r="E387" s="5" t="s">
        <v>44</v>
      </c>
      <c r="F387" s="5"/>
      <c r="G387" s="5"/>
      <c r="H387" s="5"/>
      <c r="I387" s="5"/>
      <c r="J387" s="5"/>
      <c r="K387" s="5" t="s">
        <v>2294</v>
      </c>
      <c r="L387" s="5"/>
    </row>
    <row r="388" customFormat="false" ht="23.25" hidden="false" customHeight="true" outlineLevel="0" collapsed="false">
      <c r="A388" s="5" t="s">
        <v>1784</v>
      </c>
      <c r="B388" s="5" t="s">
        <v>1785</v>
      </c>
      <c r="C388" s="5"/>
      <c r="D388" s="5"/>
      <c r="E388" s="5" t="s">
        <v>44</v>
      </c>
      <c r="F388" s="5"/>
      <c r="G388" s="5"/>
      <c r="H388" s="5"/>
      <c r="I388" s="5"/>
      <c r="J388" s="5"/>
      <c r="K388" s="5" t="s">
        <v>2294</v>
      </c>
      <c r="L388" s="5"/>
    </row>
    <row r="389" customFormat="false" ht="23.25" hidden="false" customHeight="true" outlineLevel="0" collapsed="false">
      <c r="A389" s="5" t="s">
        <v>1788</v>
      </c>
      <c r="B389" s="5" t="s">
        <v>1789</v>
      </c>
      <c r="C389" s="5"/>
      <c r="D389" s="5"/>
      <c r="E389" s="5" t="s">
        <v>44</v>
      </c>
      <c r="F389" s="5"/>
      <c r="G389" s="5"/>
      <c r="H389" s="5"/>
      <c r="I389" s="5"/>
      <c r="J389" s="5"/>
      <c r="K389" s="5" t="s">
        <v>2294</v>
      </c>
      <c r="L389" s="5"/>
    </row>
    <row r="390" customFormat="false" ht="15" hidden="false" customHeight="true" outlineLevel="0" collapsed="false">
      <c r="A390" s="5" t="s">
        <v>1792</v>
      </c>
      <c r="B390" s="5" t="s">
        <v>1793</v>
      </c>
      <c r="C390" s="5"/>
      <c r="D390" s="5"/>
      <c r="E390" s="5" t="s">
        <v>44</v>
      </c>
      <c r="F390" s="5"/>
      <c r="G390" s="5"/>
      <c r="H390" s="5"/>
      <c r="I390" s="5"/>
      <c r="J390" s="5"/>
      <c r="K390" s="5" t="s">
        <v>2294</v>
      </c>
      <c r="L390" s="5"/>
    </row>
    <row r="391" customFormat="false" ht="23.25" hidden="false" customHeight="true" outlineLevel="0" collapsed="false">
      <c r="A391" s="5" t="s">
        <v>1796</v>
      </c>
      <c r="B391" s="5" t="s">
        <v>1797</v>
      </c>
      <c r="C391" s="5"/>
      <c r="D391" s="5"/>
      <c r="E391" s="5" t="s">
        <v>44</v>
      </c>
      <c r="F391" s="5"/>
      <c r="G391" s="5"/>
      <c r="H391" s="5"/>
      <c r="I391" s="5"/>
      <c r="J391" s="5"/>
      <c r="K391" s="5" t="s">
        <v>2294</v>
      </c>
      <c r="L391" s="5"/>
    </row>
    <row r="392" customFormat="false" ht="15" hidden="false" customHeight="true" outlineLevel="0" collapsed="false">
      <c r="A392" s="5" t="s">
        <v>1800</v>
      </c>
      <c r="B392" s="5" t="s">
        <v>1801</v>
      </c>
      <c r="C392" s="5"/>
      <c r="D392" s="5"/>
      <c r="E392" s="5" t="s">
        <v>44</v>
      </c>
      <c r="F392" s="5"/>
      <c r="G392" s="5"/>
      <c r="H392" s="5"/>
      <c r="I392" s="5"/>
      <c r="J392" s="5"/>
      <c r="K392" s="5" t="s">
        <v>2294</v>
      </c>
      <c r="L392" s="5"/>
    </row>
    <row r="393" customFormat="false" ht="15" hidden="false" customHeight="true" outlineLevel="0" collapsed="false">
      <c r="A393" s="5" t="s">
        <v>1804</v>
      </c>
      <c r="B393" s="5" t="s">
        <v>1805</v>
      </c>
      <c r="C393" s="5"/>
      <c r="D393" s="5"/>
      <c r="E393" s="5" t="s">
        <v>44</v>
      </c>
      <c r="F393" s="5"/>
      <c r="G393" s="5"/>
      <c r="H393" s="5"/>
      <c r="I393" s="5"/>
      <c r="J393" s="5"/>
      <c r="K393" s="5" t="s">
        <v>2294</v>
      </c>
      <c r="L393" s="5"/>
    </row>
    <row r="394" customFormat="false" ht="23.25" hidden="false" customHeight="true" outlineLevel="0" collapsed="false">
      <c r="A394" s="5" t="s">
        <v>1808</v>
      </c>
      <c r="B394" s="5" t="s">
        <v>1809</v>
      </c>
      <c r="C394" s="5"/>
      <c r="D394" s="5"/>
      <c r="E394" s="5" t="s">
        <v>44</v>
      </c>
      <c r="F394" s="5"/>
      <c r="G394" s="5"/>
      <c r="H394" s="5"/>
      <c r="I394" s="5"/>
      <c r="J394" s="5"/>
      <c r="K394" s="5" t="s">
        <v>2294</v>
      </c>
      <c r="L394" s="5"/>
    </row>
    <row r="395" customFormat="false" ht="23.25" hidden="false" customHeight="true" outlineLevel="0" collapsed="false">
      <c r="A395" s="5" t="s">
        <v>1813</v>
      </c>
      <c r="B395" s="5" t="s">
        <v>1814</v>
      </c>
      <c r="C395" s="5"/>
      <c r="D395" s="5"/>
      <c r="E395" s="5" t="s">
        <v>44</v>
      </c>
      <c r="F395" s="5"/>
      <c r="G395" s="5"/>
      <c r="H395" s="5"/>
      <c r="I395" s="5"/>
      <c r="J395" s="5"/>
      <c r="K395" s="5" t="s">
        <v>2294</v>
      </c>
      <c r="L395" s="5"/>
    </row>
    <row r="396" customFormat="false" ht="23.25" hidden="false" customHeight="true" outlineLevel="0" collapsed="false">
      <c r="A396" s="5" t="s">
        <v>1817</v>
      </c>
      <c r="B396" s="5" t="s">
        <v>1818</v>
      </c>
      <c r="C396" s="5"/>
      <c r="D396" s="5"/>
      <c r="E396" s="5" t="s">
        <v>44</v>
      </c>
      <c r="F396" s="5"/>
      <c r="G396" s="5"/>
      <c r="H396" s="5"/>
      <c r="I396" s="5"/>
      <c r="J396" s="5"/>
      <c r="K396" s="5" t="s">
        <v>2294</v>
      </c>
      <c r="L396" s="5"/>
    </row>
    <row r="397" customFormat="false" ht="23.25" hidden="false" customHeight="true" outlineLevel="0" collapsed="false">
      <c r="A397" s="5" t="s">
        <v>1821</v>
      </c>
      <c r="B397" s="5" t="s">
        <v>1822</v>
      </c>
      <c r="C397" s="5"/>
      <c r="D397" s="5"/>
      <c r="E397" s="5" t="s">
        <v>44</v>
      </c>
      <c r="F397" s="5"/>
      <c r="G397" s="5"/>
      <c r="H397" s="5"/>
      <c r="I397" s="5"/>
      <c r="J397" s="5"/>
      <c r="K397" s="5" t="s">
        <v>2294</v>
      </c>
      <c r="L397" s="5"/>
    </row>
    <row r="398" customFormat="false" ht="15" hidden="false" customHeight="true" outlineLevel="0" collapsed="false">
      <c r="A398" s="5" t="s">
        <v>1825</v>
      </c>
      <c r="B398" s="5" t="s">
        <v>1826</v>
      </c>
      <c r="C398" s="5"/>
      <c r="D398" s="5"/>
      <c r="E398" s="5" t="s">
        <v>42</v>
      </c>
      <c r="F398" s="5"/>
      <c r="G398" s="5"/>
      <c r="H398" s="5"/>
      <c r="I398" s="5"/>
      <c r="J398" s="5"/>
      <c r="K398" s="5" t="s">
        <v>2294</v>
      </c>
      <c r="L398" s="5"/>
    </row>
    <row r="399" customFormat="false" ht="23.25" hidden="false" customHeight="true" outlineLevel="0" collapsed="false">
      <c r="A399" s="5" t="s">
        <v>1827</v>
      </c>
      <c r="B399" s="5" t="s">
        <v>1828</v>
      </c>
      <c r="C399" s="5"/>
      <c r="D399" s="5"/>
      <c r="E399" s="5" t="s">
        <v>44</v>
      </c>
      <c r="F399" s="5"/>
      <c r="G399" s="5"/>
      <c r="H399" s="5"/>
      <c r="I399" s="5"/>
      <c r="J399" s="5"/>
      <c r="K399" s="5" t="s">
        <v>2294</v>
      </c>
      <c r="L399" s="5"/>
    </row>
    <row r="400" customFormat="false" ht="15" hidden="false" customHeight="true" outlineLevel="0" collapsed="false">
      <c r="A400" s="5" t="s">
        <v>1831</v>
      </c>
      <c r="B400" s="5" t="s">
        <v>1832</v>
      </c>
      <c r="C400" s="5"/>
      <c r="D400" s="5"/>
      <c r="E400" s="5" t="s">
        <v>44</v>
      </c>
      <c r="F400" s="5"/>
      <c r="G400" s="5"/>
      <c r="H400" s="5"/>
      <c r="I400" s="5"/>
      <c r="J400" s="5"/>
      <c r="K400" s="5" t="s">
        <v>2294</v>
      </c>
      <c r="L400" s="5"/>
    </row>
    <row r="401" customFormat="false" ht="23.25" hidden="false" customHeight="true" outlineLevel="0" collapsed="false">
      <c r="A401" s="5" t="s">
        <v>1836</v>
      </c>
      <c r="B401" s="5" t="s">
        <v>1837</v>
      </c>
      <c r="C401" s="5"/>
      <c r="D401" s="5"/>
      <c r="E401" s="5" t="s">
        <v>44</v>
      </c>
      <c r="F401" s="5"/>
      <c r="G401" s="5"/>
      <c r="H401" s="5"/>
      <c r="I401" s="5"/>
      <c r="J401" s="5"/>
      <c r="K401" s="5" t="s">
        <v>2294</v>
      </c>
      <c r="L401" s="5"/>
    </row>
    <row r="402" customFormat="false" ht="23.25" hidden="false" customHeight="true" outlineLevel="0" collapsed="false">
      <c r="A402" s="5" t="s">
        <v>1840</v>
      </c>
      <c r="B402" s="5" t="s">
        <v>1841</v>
      </c>
      <c r="C402" s="5"/>
      <c r="D402" s="5"/>
      <c r="E402" s="5" t="s">
        <v>42</v>
      </c>
      <c r="F402" s="5"/>
      <c r="G402" s="5"/>
      <c r="H402" s="5"/>
      <c r="I402" s="5"/>
      <c r="J402" s="5"/>
      <c r="K402" s="5" t="s">
        <v>2294</v>
      </c>
      <c r="L402" s="5"/>
    </row>
    <row r="403" customFormat="false" ht="23.25" hidden="false" customHeight="true" outlineLevel="0" collapsed="false">
      <c r="A403" s="5" t="s">
        <v>1845</v>
      </c>
      <c r="B403" s="5" t="s">
        <v>1846</v>
      </c>
      <c r="C403" s="5"/>
      <c r="D403" s="5"/>
      <c r="E403" s="5" t="s">
        <v>44</v>
      </c>
      <c r="F403" s="5"/>
      <c r="G403" s="5"/>
      <c r="H403" s="5"/>
      <c r="I403" s="5"/>
      <c r="J403" s="5"/>
      <c r="K403" s="5" t="s">
        <v>2294</v>
      </c>
      <c r="L403" s="5"/>
    </row>
    <row r="404" customFormat="false" ht="23.25" hidden="false" customHeight="true" outlineLevel="0" collapsed="false">
      <c r="A404" s="5" t="s">
        <v>1849</v>
      </c>
      <c r="B404" s="5" t="s">
        <v>1850</v>
      </c>
      <c r="C404" s="5"/>
      <c r="D404" s="5"/>
      <c r="E404" s="5" t="s">
        <v>42</v>
      </c>
      <c r="F404" s="5"/>
      <c r="G404" s="5"/>
      <c r="H404" s="5"/>
      <c r="I404" s="5"/>
      <c r="J404" s="5"/>
      <c r="K404" s="5" t="s">
        <v>2294</v>
      </c>
      <c r="L404" s="5"/>
    </row>
    <row r="405" customFormat="false" ht="23.25" hidden="false" customHeight="true" outlineLevel="0" collapsed="false">
      <c r="A405" s="5" t="s">
        <v>1853</v>
      </c>
      <c r="B405" s="5" t="s">
        <v>1854</v>
      </c>
      <c r="C405" s="5"/>
      <c r="D405" s="5"/>
      <c r="E405" s="5" t="s">
        <v>44</v>
      </c>
      <c r="F405" s="5"/>
      <c r="G405" s="5"/>
      <c r="H405" s="5"/>
      <c r="I405" s="5"/>
      <c r="J405" s="5"/>
      <c r="K405" s="5" t="s">
        <v>2294</v>
      </c>
      <c r="L405" s="5"/>
    </row>
    <row r="406" customFormat="false" ht="23.25" hidden="false" customHeight="true" outlineLevel="0" collapsed="false">
      <c r="A406" s="5" t="s">
        <v>1857</v>
      </c>
      <c r="B406" s="5" t="s">
        <v>1858</v>
      </c>
      <c r="C406" s="5"/>
      <c r="D406" s="5"/>
      <c r="E406" s="5" t="s">
        <v>44</v>
      </c>
      <c r="F406" s="5"/>
      <c r="G406" s="5"/>
      <c r="H406" s="5"/>
      <c r="I406" s="5"/>
      <c r="J406" s="5"/>
      <c r="K406" s="5" t="s">
        <v>2294</v>
      </c>
      <c r="L406" s="5"/>
    </row>
    <row r="407" customFormat="false" ht="15" hidden="false" customHeight="true" outlineLevel="0" collapsed="false">
      <c r="A407" s="5" t="s">
        <v>1859</v>
      </c>
      <c r="B407" s="5" t="s">
        <v>1860</v>
      </c>
      <c r="C407" s="5"/>
      <c r="D407" s="5"/>
      <c r="E407" s="5" t="s">
        <v>44</v>
      </c>
      <c r="F407" s="5"/>
      <c r="G407" s="5"/>
      <c r="H407" s="5"/>
      <c r="I407" s="5"/>
      <c r="J407" s="5"/>
      <c r="K407" s="5" t="s">
        <v>2294</v>
      </c>
      <c r="L407" s="5"/>
    </row>
    <row r="408" customFormat="false" ht="15" hidden="false" customHeight="true" outlineLevel="0" collapsed="false">
      <c r="A408" s="5" t="s">
        <v>1864</v>
      </c>
      <c r="B408" s="5" t="s">
        <v>1865</v>
      </c>
      <c r="C408" s="5"/>
      <c r="D408" s="5"/>
      <c r="E408" s="5" t="s">
        <v>44</v>
      </c>
      <c r="F408" s="5"/>
      <c r="G408" s="5"/>
      <c r="H408" s="5"/>
      <c r="I408" s="5"/>
      <c r="J408" s="5"/>
      <c r="K408" s="5" t="s">
        <v>2294</v>
      </c>
      <c r="L408" s="5"/>
    </row>
    <row r="409" customFormat="false" ht="15" hidden="false" customHeight="true" outlineLevel="0" collapsed="false">
      <c r="A409" s="5" t="s">
        <v>1868</v>
      </c>
      <c r="B409" s="5" t="s">
        <v>1869</v>
      </c>
      <c r="C409" s="5"/>
      <c r="D409" s="5"/>
      <c r="E409" s="5" t="s">
        <v>44</v>
      </c>
      <c r="F409" s="5"/>
      <c r="G409" s="5"/>
      <c r="H409" s="5"/>
      <c r="I409" s="5"/>
      <c r="J409" s="5"/>
      <c r="K409" s="5" t="s">
        <v>2294</v>
      </c>
      <c r="L409" s="5"/>
    </row>
    <row r="410" customFormat="false" ht="23.25" hidden="false" customHeight="true" outlineLevel="0" collapsed="false">
      <c r="A410" s="5" t="s">
        <v>1872</v>
      </c>
      <c r="B410" s="5" t="s">
        <v>1873</v>
      </c>
      <c r="C410" s="5"/>
      <c r="D410" s="5"/>
      <c r="E410" s="5" t="s">
        <v>44</v>
      </c>
      <c r="F410" s="5"/>
      <c r="G410" s="5"/>
      <c r="H410" s="5"/>
      <c r="I410" s="5"/>
      <c r="J410" s="5"/>
      <c r="K410" s="5" t="s">
        <v>2294</v>
      </c>
      <c r="L410" s="5"/>
    </row>
    <row r="411" customFormat="false" ht="23.25" hidden="false" customHeight="true" outlineLevel="0" collapsed="false">
      <c r="A411" s="5" t="s">
        <v>1876</v>
      </c>
      <c r="B411" s="5" t="s">
        <v>1877</v>
      </c>
      <c r="C411" s="5"/>
      <c r="D411" s="5"/>
      <c r="E411" s="5" t="s">
        <v>44</v>
      </c>
      <c r="F411" s="5"/>
      <c r="G411" s="5"/>
      <c r="H411" s="5"/>
      <c r="I411" s="5"/>
      <c r="J411" s="5"/>
      <c r="K411" s="5" t="s">
        <v>2294</v>
      </c>
      <c r="L411" s="5"/>
    </row>
    <row r="412" customFormat="false" ht="15" hidden="false" customHeight="true" outlineLevel="0" collapsed="false">
      <c r="A412" s="5" t="s">
        <v>1878</v>
      </c>
      <c r="B412" s="5" t="s">
        <v>1879</v>
      </c>
      <c r="C412" s="5"/>
      <c r="D412" s="5"/>
      <c r="E412" s="5" t="s">
        <v>44</v>
      </c>
      <c r="F412" s="5"/>
      <c r="G412" s="5"/>
      <c r="H412" s="5"/>
      <c r="I412" s="5"/>
      <c r="J412" s="5"/>
      <c r="K412" s="5" t="s">
        <v>2294</v>
      </c>
      <c r="L412" s="5"/>
    </row>
    <row r="413" customFormat="false" ht="23.25" hidden="false" customHeight="true" outlineLevel="0" collapsed="false">
      <c r="A413" s="5" t="s">
        <v>1882</v>
      </c>
      <c r="B413" s="5" t="s">
        <v>1883</v>
      </c>
      <c r="C413" s="5"/>
      <c r="D413" s="5"/>
      <c r="E413" s="5" t="s">
        <v>42</v>
      </c>
      <c r="F413" s="5"/>
      <c r="G413" s="5"/>
      <c r="H413" s="5"/>
      <c r="I413" s="5"/>
      <c r="J413" s="5"/>
      <c r="K413" s="5" t="s">
        <v>2294</v>
      </c>
      <c r="L413" s="5"/>
    </row>
    <row r="414" customFormat="false" ht="23.25" hidden="false" customHeight="true" outlineLevel="0" collapsed="false">
      <c r="A414" s="5" t="s">
        <v>1886</v>
      </c>
      <c r="B414" s="5" t="s">
        <v>1887</v>
      </c>
      <c r="C414" s="5"/>
      <c r="D414" s="5"/>
      <c r="E414" s="5" t="s">
        <v>42</v>
      </c>
      <c r="F414" s="5"/>
      <c r="G414" s="5"/>
      <c r="H414" s="5"/>
      <c r="I414" s="5"/>
      <c r="J414" s="5"/>
      <c r="K414" s="5" t="s">
        <v>2294</v>
      </c>
      <c r="L414" s="5"/>
    </row>
    <row r="415" customFormat="false" ht="23.25" hidden="false" customHeight="true" outlineLevel="0" collapsed="false">
      <c r="A415" s="5" t="s">
        <v>1890</v>
      </c>
      <c r="B415" s="5" t="s">
        <v>1891</v>
      </c>
      <c r="C415" s="5"/>
      <c r="D415" s="5"/>
      <c r="E415" s="5" t="s">
        <v>44</v>
      </c>
      <c r="F415" s="5"/>
      <c r="G415" s="5"/>
      <c r="H415" s="5"/>
      <c r="I415" s="5"/>
      <c r="J415" s="5"/>
      <c r="K415" s="5" t="s">
        <v>2294</v>
      </c>
      <c r="L415" s="5"/>
    </row>
    <row r="416" customFormat="false" ht="23.25" hidden="false" customHeight="true" outlineLevel="0" collapsed="false">
      <c r="A416" s="5" t="s">
        <v>1894</v>
      </c>
      <c r="B416" s="5" t="s">
        <v>1895</v>
      </c>
      <c r="C416" s="5"/>
      <c r="D416" s="5"/>
      <c r="E416" s="5" t="s">
        <v>42</v>
      </c>
      <c r="F416" s="5"/>
      <c r="G416" s="5"/>
      <c r="H416" s="5"/>
      <c r="I416" s="5"/>
      <c r="J416" s="5"/>
      <c r="K416" s="5" t="s">
        <v>2294</v>
      </c>
      <c r="L416" s="5"/>
    </row>
    <row r="417" customFormat="false" ht="23.25" hidden="false" customHeight="true" outlineLevel="0" collapsed="false">
      <c r="A417" s="5" t="s">
        <v>1898</v>
      </c>
      <c r="B417" s="5" t="s">
        <v>1899</v>
      </c>
      <c r="C417" s="5"/>
      <c r="D417" s="5"/>
      <c r="E417" s="5" t="s">
        <v>44</v>
      </c>
      <c r="F417" s="5"/>
      <c r="G417" s="5"/>
      <c r="H417" s="5"/>
      <c r="I417" s="5"/>
      <c r="J417" s="5"/>
      <c r="K417" s="5" t="s">
        <v>2294</v>
      </c>
      <c r="L417" s="5"/>
    </row>
    <row r="418" customFormat="false" ht="23.25" hidden="false" customHeight="true" outlineLevel="0" collapsed="false">
      <c r="A418" s="5" t="s">
        <v>1902</v>
      </c>
      <c r="B418" s="5" t="s">
        <v>1903</v>
      </c>
      <c r="C418" s="5"/>
      <c r="D418" s="5"/>
      <c r="E418" s="5" t="s">
        <v>42</v>
      </c>
      <c r="F418" s="5"/>
      <c r="G418" s="5"/>
      <c r="H418" s="5"/>
      <c r="I418" s="5"/>
      <c r="J418" s="5"/>
      <c r="K418" s="5" t="s">
        <v>2294</v>
      </c>
      <c r="L418" s="5"/>
    </row>
    <row r="419" customFormat="false" ht="23.25" hidden="false" customHeight="true" outlineLevel="0" collapsed="false">
      <c r="A419" s="5" t="s">
        <v>1906</v>
      </c>
      <c r="B419" s="5" t="s">
        <v>1907</v>
      </c>
      <c r="C419" s="5"/>
      <c r="D419" s="5"/>
      <c r="E419" s="5" t="s">
        <v>42</v>
      </c>
      <c r="F419" s="5"/>
      <c r="G419" s="5"/>
      <c r="H419" s="5"/>
      <c r="I419" s="5"/>
      <c r="J419" s="5"/>
      <c r="K419" s="5" t="s">
        <v>2294</v>
      </c>
      <c r="L419" s="5"/>
    </row>
    <row r="420" customFormat="false" ht="23.25" hidden="false" customHeight="true" outlineLevel="0" collapsed="false">
      <c r="A420" s="5" t="s">
        <v>1911</v>
      </c>
      <c r="B420" s="5" t="s">
        <v>1912</v>
      </c>
      <c r="C420" s="5"/>
      <c r="D420" s="5"/>
      <c r="E420" s="5" t="s">
        <v>44</v>
      </c>
      <c r="F420" s="5"/>
      <c r="G420" s="5"/>
      <c r="H420" s="5"/>
      <c r="I420" s="5"/>
      <c r="J420" s="5"/>
      <c r="K420" s="5" t="s">
        <v>2294</v>
      </c>
      <c r="L420" s="5"/>
    </row>
    <row r="421" customFormat="false" ht="23.25" hidden="false" customHeight="true" outlineLevel="0" collapsed="false">
      <c r="A421" s="5" t="s">
        <v>1913</v>
      </c>
      <c r="B421" s="5" t="s">
        <v>1914</v>
      </c>
      <c r="C421" s="5"/>
      <c r="D421" s="5"/>
      <c r="E421" s="5" t="s">
        <v>44</v>
      </c>
      <c r="F421" s="5"/>
      <c r="G421" s="5"/>
      <c r="H421" s="5"/>
      <c r="I421" s="5"/>
      <c r="J421" s="5"/>
      <c r="K421" s="5" t="s">
        <v>2294</v>
      </c>
      <c r="L421" s="5"/>
    </row>
    <row r="422" customFormat="false" ht="23.25" hidden="false" customHeight="true" outlineLevel="0" collapsed="false">
      <c r="A422" s="5" t="s">
        <v>1917</v>
      </c>
      <c r="B422" s="5" t="s">
        <v>1918</v>
      </c>
      <c r="C422" s="5"/>
      <c r="D422" s="5"/>
      <c r="E422" s="5" t="s">
        <v>44</v>
      </c>
      <c r="F422" s="5"/>
      <c r="G422" s="5"/>
      <c r="H422" s="5"/>
      <c r="I422" s="5"/>
      <c r="J422" s="5"/>
      <c r="K422" s="5" t="s">
        <v>2294</v>
      </c>
      <c r="L422" s="5"/>
    </row>
    <row r="423" customFormat="false" ht="23.25" hidden="false" customHeight="true" outlineLevel="0" collapsed="false">
      <c r="A423" s="5" t="s">
        <v>1922</v>
      </c>
      <c r="B423" s="5" t="s">
        <v>1923</v>
      </c>
      <c r="C423" s="5"/>
      <c r="D423" s="5"/>
      <c r="E423" s="5" t="s">
        <v>44</v>
      </c>
      <c r="F423" s="5"/>
      <c r="G423" s="5"/>
      <c r="H423" s="5"/>
      <c r="I423" s="5"/>
      <c r="J423" s="5"/>
      <c r="K423" s="5" t="s">
        <v>2294</v>
      </c>
      <c r="L423" s="5"/>
    </row>
    <row r="424" customFormat="false" ht="23.25" hidden="false" customHeight="true" outlineLevel="0" collapsed="false">
      <c r="A424" s="5" t="s">
        <v>1926</v>
      </c>
      <c r="B424" s="5" t="s">
        <v>1927</v>
      </c>
      <c r="C424" s="5"/>
      <c r="D424" s="5"/>
      <c r="E424" s="5" t="s">
        <v>42</v>
      </c>
      <c r="F424" s="5"/>
      <c r="G424" s="5"/>
      <c r="H424" s="5"/>
      <c r="I424" s="5"/>
      <c r="J424" s="5"/>
      <c r="K424" s="5" t="s">
        <v>2294</v>
      </c>
      <c r="L424" s="5"/>
    </row>
    <row r="425" customFormat="false" ht="23.25" hidden="false" customHeight="true" outlineLevel="0" collapsed="false">
      <c r="A425" s="5" t="s">
        <v>1933</v>
      </c>
      <c r="B425" s="5" t="s">
        <v>1934</v>
      </c>
      <c r="C425" s="5"/>
      <c r="D425" s="5"/>
      <c r="E425" s="5" t="s">
        <v>42</v>
      </c>
      <c r="F425" s="5"/>
      <c r="G425" s="5"/>
      <c r="H425" s="5"/>
      <c r="I425" s="5"/>
      <c r="J425" s="5"/>
      <c r="K425" s="5" t="s">
        <v>2294</v>
      </c>
      <c r="L425" s="5"/>
    </row>
    <row r="426" customFormat="false" ht="23.25" hidden="false" customHeight="true" outlineLevel="0" collapsed="false">
      <c r="A426" s="5" t="s">
        <v>1937</v>
      </c>
      <c r="B426" s="5" t="s">
        <v>1938</v>
      </c>
      <c r="C426" s="5"/>
      <c r="D426" s="5"/>
      <c r="E426" s="5" t="s">
        <v>44</v>
      </c>
      <c r="F426" s="5"/>
      <c r="G426" s="5"/>
      <c r="H426" s="5"/>
      <c r="I426" s="5"/>
      <c r="J426" s="5"/>
      <c r="K426" s="5" t="s">
        <v>2294</v>
      </c>
      <c r="L426" s="5"/>
    </row>
    <row r="427" customFormat="false" ht="23.25" hidden="false" customHeight="true" outlineLevel="0" collapsed="false">
      <c r="A427" s="5" t="s">
        <v>1941</v>
      </c>
      <c r="B427" s="5" t="s">
        <v>1942</v>
      </c>
      <c r="C427" s="5"/>
      <c r="D427" s="5"/>
      <c r="E427" s="5" t="s">
        <v>42</v>
      </c>
      <c r="F427" s="5"/>
      <c r="G427" s="5"/>
      <c r="H427" s="5"/>
      <c r="I427" s="5"/>
      <c r="J427" s="5"/>
      <c r="K427" s="5" t="s">
        <v>2294</v>
      </c>
      <c r="L427" s="5"/>
    </row>
    <row r="428" customFormat="false" ht="23.25" hidden="false" customHeight="true" outlineLevel="0" collapsed="false">
      <c r="A428" s="5" t="s">
        <v>1945</v>
      </c>
      <c r="B428" s="5" t="s">
        <v>1946</v>
      </c>
      <c r="C428" s="5"/>
      <c r="D428" s="5"/>
      <c r="E428" s="5" t="s">
        <v>44</v>
      </c>
      <c r="F428" s="5"/>
      <c r="G428" s="5"/>
      <c r="H428" s="5"/>
      <c r="I428" s="5"/>
      <c r="J428" s="5"/>
      <c r="K428" s="5" t="s">
        <v>2294</v>
      </c>
      <c r="L428" s="5"/>
    </row>
    <row r="429" customFormat="false" ht="23.25" hidden="false" customHeight="true" outlineLevel="0" collapsed="false">
      <c r="A429" s="5" t="s">
        <v>1949</v>
      </c>
      <c r="B429" s="5" t="s">
        <v>1950</v>
      </c>
      <c r="C429" s="5"/>
      <c r="D429" s="5"/>
      <c r="E429" s="5" t="s">
        <v>44</v>
      </c>
      <c r="F429" s="5"/>
      <c r="G429" s="5"/>
      <c r="H429" s="5"/>
      <c r="I429" s="5"/>
      <c r="J429" s="5"/>
      <c r="K429" s="5" t="s">
        <v>2294</v>
      </c>
      <c r="L429" s="5"/>
    </row>
    <row r="430" customFormat="false" ht="23.25" hidden="false" customHeight="true" outlineLevel="0" collapsed="false">
      <c r="A430" s="5" t="s">
        <v>1954</v>
      </c>
      <c r="B430" s="5" t="s">
        <v>1955</v>
      </c>
      <c r="C430" s="5"/>
      <c r="D430" s="5"/>
      <c r="E430" s="5" t="s">
        <v>44</v>
      </c>
      <c r="F430" s="5"/>
      <c r="G430" s="5"/>
      <c r="H430" s="5"/>
      <c r="I430" s="5"/>
      <c r="J430" s="5"/>
      <c r="K430" s="5" t="s">
        <v>2294</v>
      </c>
      <c r="L430" s="5"/>
    </row>
    <row r="431" customFormat="false" ht="15" hidden="false" customHeight="true" outlineLevel="0" collapsed="false">
      <c r="A431" s="5" t="s">
        <v>1958</v>
      </c>
      <c r="B431" s="5" t="s">
        <v>1959</v>
      </c>
      <c r="C431" s="5"/>
      <c r="D431" s="5"/>
      <c r="E431" s="5" t="s">
        <v>42</v>
      </c>
      <c r="F431" s="5"/>
      <c r="G431" s="5"/>
      <c r="H431" s="5"/>
      <c r="I431" s="5"/>
      <c r="J431" s="5"/>
      <c r="K431" s="5" t="s">
        <v>2294</v>
      </c>
      <c r="L431" s="5"/>
    </row>
    <row r="432" customFormat="false" ht="15" hidden="false" customHeight="true" outlineLevel="0" collapsed="false">
      <c r="A432" s="5" t="s">
        <v>1962</v>
      </c>
      <c r="B432" s="5" t="s">
        <v>1963</v>
      </c>
      <c r="C432" s="5"/>
      <c r="D432" s="5"/>
      <c r="E432" s="5" t="s">
        <v>42</v>
      </c>
      <c r="F432" s="5"/>
      <c r="G432" s="5"/>
      <c r="H432" s="5"/>
      <c r="I432" s="5"/>
      <c r="J432" s="5"/>
      <c r="K432" s="5" t="s">
        <v>2294</v>
      </c>
      <c r="L432" s="5"/>
    </row>
    <row r="433" customFormat="false" ht="23.25" hidden="false" customHeight="true" outlineLevel="0" collapsed="false">
      <c r="A433" s="5" t="s">
        <v>1966</v>
      </c>
      <c r="B433" s="5" t="s">
        <v>1967</v>
      </c>
      <c r="C433" s="5"/>
      <c r="D433" s="5"/>
      <c r="E433" s="5" t="s">
        <v>44</v>
      </c>
      <c r="F433" s="5"/>
      <c r="G433" s="5"/>
      <c r="H433" s="5"/>
      <c r="I433" s="5"/>
      <c r="J433" s="5"/>
      <c r="K433" s="5" t="s">
        <v>2294</v>
      </c>
      <c r="L433" s="5"/>
    </row>
    <row r="434" customFormat="false" ht="23.25" hidden="false" customHeight="true" outlineLevel="0" collapsed="false">
      <c r="A434" s="5" t="s">
        <v>1968</v>
      </c>
      <c r="B434" s="5" t="s">
        <v>1969</v>
      </c>
      <c r="C434" s="5"/>
      <c r="D434" s="5"/>
      <c r="E434" s="5" t="s">
        <v>42</v>
      </c>
      <c r="F434" s="5"/>
      <c r="G434" s="5"/>
      <c r="H434" s="5"/>
      <c r="I434" s="5"/>
      <c r="J434" s="5"/>
      <c r="K434" s="5" t="s">
        <v>2294</v>
      </c>
      <c r="L434" s="5"/>
    </row>
    <row r="435" customFormat="false" ht="23.25" hidden="false" customHeight="true" outlineLevel="0" collapsed="false">
      <c r="A435" s="5" t="s">
        <v>1972</v>
      </c>
      <c r="B435" s="5" t="s">
        <v>1973</v>
      </c>
      <c r="C435" s="5"/>
      <c r="D435" s="5"/>
      <c r="E435" s="5" t="s">
        <v>42</v>
      </c>
      <c r="F435" s="5"/>
      <c r="G435" s="5"/>
      <c r="H435" s="5"/>
      <c r="I435" s="5"/>
      <c r="J435" s="5"/>
      <c r="K435" s="5" t="s">
        <v>2294</v>
      </c>
      <c r="L435" s="5"/>
    </row>
    <row r="436" customFormat="false" ht="23.25" hidden="false" customHeight="true" outlineLevel="0" collapsed="false">
      <c r="A436" s="5" t="s">
        <v>1976</v>
      </c>
      <c r="B436" s="5" t="s">
        <v>1977</v>
      </c>
      <c r="C436" s="5"/>
      <c r="D436" s="5"/>
      <c r="E436" s="5" t="s">
        <v>44</v>
      </c>
      <c r="F436" s="5"/>
      <c r="G436" s="5"/>
      <c r="H436" s="5"/>
      <c r="I436" s="5"/>
      <c r="J436" s="5"/>
      <c r="K436" s="5" t="s">
        <v>2294</v>
      </c>
      <c r="L436" s="5"/>
    </row>
    <row r="437" customFormat="false" ht="23.25" hidden="false" customHeight="true" outlineLevel="0" collapsed="false">
      <c r="A437" s="5" t="s">
        <v>1980</v>
      </c>
      <c r="B437" s="5" t="s">
        <v>1981</v>
      </c>
      <c r="C437" s="5"/>
      <c r="D437" s="5"/>
      <c r="E437" s="5" t="s">
        <v>44</v>
      </c>
      <c r="F437" s="5"/>
      <c r="G437" s="5"/>
      <c r="H437" s="5"/>
      <c r="I437" s="5"/>
      <c r="J437" s="5"/>
      <c r="K437" s="5" t="s">
        <v>2294</v>
      </c>
      <c r="L437" s="5"/>
    </row>
    <row r="438" customFormat="false" ht="23.25" hidden="false" customHeight="true" outlineLevel="0" collapsed="false">
      <c r="A438" s="5" t="s">
        <v>1984</v>
      </c>
      <c r="B438" s="5" t="s">
        <v>1985</v>
      </c>
      <c r="C438" s="5"/>
      <c r="D438" s="5"/>
      <c r="E438" s="5" t="s">
        <v>44</v>
      </c>
      <c r="F438" s="5"/>
      <c r="G438" s="5"/>
      <c r="H438" s="5"/>
      <c r="I438" s="5"/>
      <c r="J438" s="5"/>
      <c r="K438" s="5" t="s">
        <v>2294</v>
      </c>
      <c r="L438" s="5"/>
    </row>
    <row r="439" customFormat="false" ht="23.25" hidden="false" customHeight="true" outlineLevel="0" collapsed="false">
      <c r="A439" s="5" t="s">
        <v>1988</v>
      </c>
      <c r="B439" s="5" t="s">
        <v>1989</v>
      </c>
      <c r="C439" s="5"/>
      <c r="D439" s="5"/>
      <c r="E439" s="5" t="s">
        <v>44</v>
      </c>
      <c r="F439" s="5"/>
      <c r="G439" s="5"/>
      <c r="H439" s="5"/>
      <c r="I439" s="5"/>
      <c r="J439" s="5"/>
      <c r="K439" s="5" t="s">
        <v>2294</v>
      </c>
      <c r="L439" s="5"/>
    </row>
    <row r="440" customFormat="false" ht="23.25" hidden="false" customHeight="true" outlineLevel="0" collapsed="false">
      <c r="A440" s="5" t="s">
        <v>1990</v>
      </c>
      <c r="B440" s="5" t="s">
        <v>1991</v>
      </c>
      <c r="C440" s="5"/>
      <c r="D440" s="5"/>
      <c r="E440" s="5" t="s">
        <v>44</v>
      </c>
      <c r="F440" s="5"/>
      <c r="G440" s="5"/>
      <c r="H440" s="5"/>
      <c r="I440" s="5"/>
      <c r="J440" s="5"/>
      <c r="K440" s="5" t="s">
        <v>2294</v>
      </c>
      <c r="L440" s="5"/>
    </row>
    <row r="441" customFormat="false" ht="23.25" hidden="false" customHeight="true" outlineLevel="0" collapsed="false">
      <c r="A441" s="5" t="s">
        <v>1994</v>
      </c>
      <c r="B441" s="5" t="s">
        <v>1995</v>
      </c>
      <c r="C441" s="5"/>
      <c r="D441" s="5"/>
      <c r="E441" s="5" t="s">
        <v>44</v>
      </c>
      <c r="F441" s="5"/>
      <c r="G441" s="5"/>
      <c r="H441" s="5"/>
      <c r="I441" s="5"/>
      <c r="J441" s="5"/>
      <c r="K441" s="5" t="s">
        <v>2294</v>
      </c>
      <c r="L441" s="5"/>
    </row>
    <row r="442" customFormat="false" ht="23.25" hidden="false" customHeight="true" outlineLevel="0" collapsed="false">
      <c r="A442" s="5" t="s">
        <v>1996</v>
      </c>
      <c r="B442" s="5" t="s">
        <v>1997</v>
      </c>
      <c r="C442" s="5"/>
      <c r="D442" s="5"/>
      <c r="E442" s="5" t="s">
        <v>44</v>
      </c>
      <c r="F442" s="5"/>
      <c r="G442" s="5"/>
      <c r="H442" s="5"/>
      <c r="I442" s="5"/>
      <c r="J442" s="5"/>
      <c r="K442" s="5" t="s">
        <v>2294</v>
      </c>
      <c r="L442" s="5"/>
    </row>
    <row r="443" customFormat="false" ht="23.25" hidden="false" customHeight="true" outlineLevel="0" collapsed="false">
      <c r="A443" s="5" t="s">
        <v>2001</v>
      </c>
      <c r="B443" s="5" t="s">
        <v>2002</v>
      </c>
      <c r="C443" s="5"/>
      <c r="D443" s="5"/>
      <c r="E443" s="5" t="s">
        <v>44</v>
      </c>
      <c r="F443" s="5"/>
      <c r="G443" s="5"/>
      <c r="H443" s="5"/>
      <c r="I443" s="5"/>
      <c r="J443" s="5"/>
      <c r="K443" s="5" t="s">
        <v>2294</v>
      </c>
      <c r="L443" s="5"/>
    </row>
    <row r="444" customFormat="false" ht="15" hidden="false" customHeight="true" outlineLevel="0" collapsed="false">
      <c r="A444" s="5" t="s">
        <v>2005</v>
      </c>
      <c r="B444" s="5" t="s">
        <v>2006</v>
      </c>
      <c r="C444" s="5"/>
      <c r="D444" s="5"/>
      <c r="E444" s="5" t="s">
        <v>44</v>
      </c>
      <c r="F444" s="5"/>
      <c r="G444" s="5"/>
      <c r="H444" s="5"/>
      <c r="I444" s="5"/>
      <c r="J444" s="5"/>
      <c r="K444" s="5" t="s">
        <v>2294</v>
      </c>
      <c r="L444" s="5"/>
    </row>
    <row r="445" customFormat="false" ht="23.25" hidden="false" customHeight="true" outlineLevel="0" collapsed="false">
      <c r="A445" s="5" t="s">
        <v>2009</v>
      </c>
      <c r="B445" s="5" t="s">
        <v>2010</v>
      </c>
      <c r="C445" s="5"/>
      <c r="D445" s="5"/>
      <c r="E445" s="5" t="s">
        <v>44</v>
      </c>
      <c r="F445" s="5"/>
      <c r="G445" s="5"/>
      <c r="H445" s="5"/>
      <c r="I445" s="5"/>
      <c r="J445" s="5"/>
      <c r="K445" s="5" t="s">
        <v>2294</v>
      </c>
      <c r="L445" s="5"/>
    </row>
    <row r="446" customFormat="false" ht="15" hidden="false" customHeight="true" outlineLevel="0" collapsed="false">
      <c r="A446" s="5" t="s">
        <v>2013</v>
      </c>
      <c r="B446" s="5" t="s">
        <v>2014</v>
      </c>
      <c r="C446" s="5"/>
      <c r="D446" s="5"/>
      <c r="E446" s="5" t="s">
        <v>44</v>
      </c>
      <c r="F446" s="5"/>
      <c r="G446" s="5"/>
      <c r="H446" s="5"/>
      <c r="I446" s="5"/>
      <c r="J446" s="5"/>
      <c r="K446" s="5" t="s">
        <v>2294</v>
      </c>
      <c r="L446" s="5"/>
    </row>
    <row r="447" customFormat="false" ht="23.25" hidden="false" customHeight="true" outlineLevel="0" collapsed="false">
      <c r="A447" s="5" t="s">
        <v>2017</v>
      </c>
      <c r="B447" s="5" t="s">
        <v>2018</v>
      </c>
      <c r="C447" s="5"/>
      <c r="D447" s="5"/>
      <c r="E447" s="5" t="s">
        <v>44</v>
      </c>
      <c r="F447" s="5"/>
      <c r="G447" s="5"/>
      <c r="H447" s="5"/>
      <c r="I447" s="5"/>
      <c r="J447" s="5"/>
      <c r="K447" s="5" t="s">
        <v>2294</v>
      </c>
      <c r="L447" s="5"/>
    </row>
    <row r="448" customFormat="false" ht="23.25" hidden="false" customHeight="true" outlineLevel="0" collapsed="false">
      <c r="A448" s="5" t="s">
        <v>2021</v>
      </c>
      <c r="B448" s="5" t="s">
        <v>2022</v>
      </c>
      <c r="C448" s="5"/>
      <c r="D448" s="5"/>
      <c r="E448" s="5" t="s">
        <v>44</v>
      </c>
      <c r="F448" s="5"/>
      <c r="G448" s="5"/>
      <c r="H448" s="5"/>
      <c r="I448" s="5"/>
      <c r="J448" s="5"/>
      <c r="K448" s="5" t="s">
        <v>2294</v>
      </c>
      <c r="L448" s="5"/>
    </row>
    <row r="449" customFormat="false" ht="15" hidden="false" customHeight="true" outlineLevel="0" collapsed="false">
      <c r="A449" s="5" t="s">
        <v>2025</v>
      </c>
      <c r="B449" s="5" t="s">
        <v>2026</v>
      </c>
      <c r="C449" s="5"/>
      <c r="D449" s="5"/>
      <c r="E449" s="5" t="s">
        <v>44</v>
      </c>
      <c r="F449" s="5"/>
      <c r="G449" s="5"/>
      <c r="H449" s="5"/>
      <c r="I449" s="5"/>
      <c r="J449" s="5"/>
      <c r="K449" s="5" t="s">
        <v>2294</v>
      </c>
      <c r="L449" s="5"/>
    </row>
    <row r="450" customFormat="false" ht="15" hidden="false" customHeight="true" outlineLevel="0" collapsed="false">
      <c r="A450" s="5" t="s">
        <v>2029</v>
      </c>
      <c r="B450" s="5" t="s">
        <v>2030</v>
      </c>
      <c r="C450" s="5"/>
      <c r="D450" s="5"/>
      <c r="E450" s="5" t="s">
        <v>44</v>
      </c>
      <c r="F450" s="5"/>
      <c r="G450" s="5"/>
      <c r="H450" s="5"/>
      <c r="I450" s="5"/>
      <c r="J450" s="5"/>
      <c r="K450" s="5" t="s">
        <v>2294</v>
      </c>
      <c r="L450" s="5"/>
    </row>
    <row r="451" customFormat="false" ht="23.25" hidden="false" customHeight="true" outlineLevel="0" collapsed="false">
      <c r="A451" s="5" t="s">
        <v>2033</v>
      </c>
      <c r="B451" s="5" t="s">
        <v>2034</v>
      </c>
      <c r="C451" s="5"/>
      <c r="D451" s="5"/>
      <c r="E451" s="5" t="s">
        <v>42</v>
      </c>
      <c r="F451" s="5"/>
      <c r="G451" s="5"/>
      <c r="H451" s="5"/>
      <c r="I451" s="5"/>
      <c r="J451" s="5"/>
      <c r="K451" s="5" t="s">
        <v>2294</v>
      </c>
      <c r="L451" s="5"/>
    </row>
    <row r="452" customFormat="false" ht="15" hidden="false" customHeight="true" outlineLevel="0" collapsed="false">
      <c r="A452" s="5" t="s">
        <v>2037</v>
      </c>
      <c r="B452" s="5" t="s">
        <v>2038</v>
      </c>
      <c r="C452" s="5"/>
      <c r="D452" s="5"/>
      <c r="E452" s="5" t="s">
        <v>44</v>
      </c>
      <c r="F452" s="5"/>
      <c r="G452" s="5"/>
      <c r="H452" s="5"/>
      <c r="I452" s="5"/>
      <c r="J452" s="5"/>
      <c r="K452" s="5" t="s">
        <v>2294</v>
      </c>
      <c r="L452" s="5"/>
    </row>
    <row r="453" customFormat="false" ht="23.25" hidden="false" customHeight="true" outlineLevel="0" collapsed="false">
      <c r="A453" s="5" t="s">
        <v>2042</v>
      </c>
      <c r="B453" s="5" t="s">
        <v>2043</v>
      </c>
      <c r="C453" s="5"/>
      <c r="D453" s="5"/>
      <c r="E453" s="5" t="s">
        <v>44</v>
      </c>
      <c r="F453" s="5"/>
      <c r="G453" s="5"/>
      <c r="H453" s="5"/>
      <c r="I453" s="5"/>
      <c r="J453" s="5"/>
      <c r="K453" s="5" t="s">
        <v>2294</v>
      </c>
      <c r="L453" s="5"/>
    </row>
    <row r="454" customFormat="false" ht="23.25" hidden="false" customHeight="true" outlineLevel="0" collapsed="false">
      <c r="A454" s="5" t="s">
        <v>2047</v>
      </c>
      <c r="B454" s="5" t="s">
        <v>2048</v>
      </c>
      <c r="C454" s="5"/>
      <c r="D454" s="5"/>
      <c r="E454" s="5" t="s">
        <v>44</v>
      </c>
      <c r="F454" s="5"/>
      <c r="G454" s="5"/>
      <c r="H454" s="5"/>
      <c r="I454" s="5"/>
      <c r="J454" s="5"/>
      <c r="K454" s="5" t="s">
        <v>2294</v>
      </c>
      <c r="L454" s="5"/>
    </row>
    <row r="455" customFormat="false" ht="15" hidden="false" customHeight="true" outlineLevel="0" collapsed="false">
      <c r="A455" s="5" t="s">
        <v>2052</v>
      </c>
      <c r="B455" s="5" t="s">
        <v>2053</v>
      </c>
      <c r="C455" s="5"/>
      <c r="D455" s="5"/>
      <c r="E455" s="5" t="s">
        <v>44</v>
      </c>
      <c r="F455" s="5"/>
      <c r="G455" s="5"/>
      <c r="H455" s="5"/>
      <c r="I455" s="5"/>
      <c r="J455" s="5"/>
      <c r="K455" s="5" t="s">
        <v>2294</v>
      </c>
      <c r="L455" s="5"/>
    </row>
    <row r="456" customFormat="false" ht="23.25" hidden="false" customHeight="true" outlineLevel="0" collapsed="false">
      <c r="A456" s="5" t="s">
        <v>2056</v>
      </c>
      <c r="B456" s="5" t="s">
        <v>2057</v>
      </c>
      <c r="C456" s="5"/>
      <c r="D456" s="5"/>
      <c r="E456" s="5" t="s">
        <v>44</v>
      </c>
      <c r="F456" s="5"/>
      <c r="G456" s="5"/>
      <c r="H456" s="5"/>
      <c r="I456" s="5"/>
      <c r="J456" s="5"/>
      <c r="K456" s="5" t="s">
        <v>2294</v>
      </c>
      <c r="L456" s="5"/>
    </row>
    <row r="457" customFormat="false" ht="15" hidden="false" customHeight="true" outlineLevel="0" collapsed="false">
      <c r="A457" s="5" t="s">
        <v>2060</v>
      </c>
      <c r="B457" s="5" t="s">
        <v>2061</v>
      </c>
      <c r="C457" s="5"/>
      <c r="D457" s="5"/>
      <c r="E457" s="5" t="s">
        <v>42</v>
      </c>
      <c r="F457" s="5"/>
      <c r="G457" s="5"/>
      <c r="H457" s="5"/>
      <c r="I457" s="5"/>
      <c r="J457" s="5"/>
      <c r="K457" s="5" t="s">
        <v>2294</v>
      </c>
      <c r="L457" s="5"/>
    </row>
    <row r="458" customFormat="false" ht="23.25" hidden="false" customHeight="true" outlineLevel="0" collapsed="false">
      <c r="A458" s="5" t="s">
        <v>2064</v>
      </c>
      <c r="B458" s="5" t="s">
        <v>2065</v>
      </c>
      <c r="C458" s="5"/>
      <c r="D458" s="5"/>
      <c r="E458" s="5" t="s">
        <v>44</v>
      </c>
      <c r="F458" s="5"/>
      <c r="G458" s="5"/>
      <c r="H458" s="5"/>
      <c r="I458" s="5"/>
      <c r="J458" s="5"/>
      <c r="K458" s="5" t="s">
        <v>2294</v>
      </c>
      <c r="L458" s="5"/>
    </row>
    <row r="459" customFormat="false" ht="23.25" hidden="false" customHeight="true" outlineLevel="0" collapsed="false">
      <c r="A459" s="5" t="s">
        <v>2068</v>
      </c>
      <c r="B459" s="5" t="s">
        <v>2069</v>
      </c>
      <c r="C459" s="5"/>
      <c r="D459" s="5"/>
      <c r="E459" s="5" t="s">
        <v>44</v>
      </c>
      <c r="F459" s="5"/>
      <c r="G459" s="5"/>
      <c r="H459" s="5"/>
      <c r="I459" s="5"/>
      <c r="J459" s="5"/>
      <c r="K459" s="5" t="s">
        <v>2294</v>
      </c>
      <c r="L459" s="5"/>
    </row>
    <row r="460" customFormat="false" ht="23.25" hidden="false" customHeight="true" outlineLevel="0" collapsed="false">
      <c r="A460" s="5" t="s">
        <v>2070</v>
      </c>
      <c r="B460" s="5" t="s">
        <v>2071</v>
      </c>
      <c r="C460" s="5"/>
      <c r="D460" s="5"/>
      <c r="E460" s="5" t="s">
        <v>42</v>
      </c>
      <c r="F460" s="5"/>
      <c r="G460" s="5"/>
      <c r="H460" s="5"/>
      <c r="I460" s="5"/>
      <c r="J460" s="5"/>
      <c r="K460" s="5" t="s">
        <v>2294</v>
      </c>
      <c r="L460" s="5"/>
    </row>
    <row r="461" customFormat="false" ht="15" hidden="false" customHeight="true" outlineLevel="0" collapsed="false">
      <c r="A461" s="5" t="s">
        <v>2074</v>
      </c>
      <c r="B461" s="5" t="s">
        <v>2075</v>
      </c>
      <c r="C461" s="5"/>
      <c r="D461" s="5"/>
      <c r="E461" s="5" t="s">
        <v>44</v>
      </c>
      <c r="F461" s="5"/>
      <c r="G461" s="5"/>
      <c r="H461" s="5"/>
      <c r="I461" s="5"/>
      <c r="J461" s="5"/>
      <c r="K461" s="5" t="s">
        <v>2294</v>
      </c>
      <c r="L461" s="5"/>
    </row>
    <row r="462" customFormat="false" ht="23.25" hidden="false" customHeight="true" outlineLevel="0" collapsed="false">
      <c r="A462" s="5" t="s">
        <v>2078</v>
      </c>
      <c r="B462" s="5" t="s">
        <v>2079</v>
      </c>
      <c r="C462" s="5"/>
      <c r="D462" s="5"/>
      <c r="E462" s="5" t="s">
        <v>44</v>
      </c>
      <c r="F462" s="5"/>
      <c r="G462" s="5"/>
      <c r="H462" s="5"/>
      <c r="I462" s="5"/>
      <c r="J462" s="5"/>
      <c r="K462" s="5" t="s">
        <v>2294</v>
      </c>
      <c r="L462" s="5"/>
    </row>
    <row r="463" customFormat="false" ht="23.25" hidden="false" customHeight="true" outlineLevel="0" collapsed="false">
      <c r="A463" s="5" t="s">
        <v>2082</v>
      </c>
      <c r="B463" s="5" t="s">
        <v>2083</v>
      </c>
      <c r="C463" s="5"/>
      <c r="D463" s="5"/>
      <c r="E463" s="5" t="s">
        <v>42</v>
      </c>
      <c r="F463" s="5"/>
      <c r="G463" s="5"/>
      <c r="H463" s="5"/>
      <c r="I463" s="5"/>
      <c r="J463" s="5"/>
      <c r="K463" s="5" t="s">
        <v>2294</v>
      </c>
      <c r="L463" s="5"/>
    </row>
    <row r="464" customFormat="false" ht="23.25" hidden="false" customHeight="true" outlineLevel="0" collapsed="false">
      <c r="A464" s="5" t="s">
        <v>2086</v>
      </c>
      <c r="B464" s="5" t="s">
        <v>2087</v>
      </c>
      <c r="C464" s="5"/>
      <c r="D464" s="5"/>
      <c r="E464" s="5" t="s">
        <v>42</v>
      </c>
      <c r="F464" s="5"/>
      <c r="G464" s="5"/>
      <c r="H464" s="5"/>
      <c r="I464" s="5"/>
      <c r="J464" s="5"/>
      <c r="K464" s="5" t="s">
        <v>2294</v>
      </c>
      <c r="L464" s="5"/>
    </row>
    <row r="465" customFormat="false" ht="23.25" hidden="false" customHeight="true" outlineLevel="0" collapsed="false">
      <c r="A465" s="5" t="s">
        <v>2091</v>
      </c>
      <c r="B465" s="5" t="s">
        <v>2092</v>
      </c>
      <c r="C465" s="5"/>
      <c r="D465" s="5"/>
      <c r="E465" s="5" t="s">
        <v>42</v>
      </c>
      <c r="F465" s="5"/>
      <c r="G465" s="5"/>
      <c r="H465" s="5"/>
      <c r="I465" s="5"/>
      <c r="J465" s="5"/>
      <c r="K465" s="5" t="s">
        <v>2294</v>
      </c>
      <c r="L465" s="5"/>
    </row>
    <row r="466" customFormat="false" ht="23.25" hidden="false" customHeight="true" outlineLevel="0" collapsed="false">
      <c r="A466" s="5" t="s">
        <v>2095</v>
      </c>
      <c r="B466" s="5" t="s">
        <v>2096</v>
      </c>
      <c r="C466" s="5"/>
      <c r="D466" s="5"/>
      <c r="E466" s="5" t="s">
        <v>44</v>
      </c>
      <c r="F466" s="5"/>
      <c r="G466" s="5"/>
      <c r="H466" s="5"/>
      <c r="I466" s="5"/>
      <c r="J466" s="5"/>
      <c r="K466" s="5" t="s">
        <v>2294</v>
      </c>
      <c r="L466" s="5"/>
    </row>
    <row r="467" customFormat="false" ht="15" hidden="false" customHeight="true" outlineLevel="0" collapsed="false">
      <c r="A467" s="5" t="s">
        <v>2099</v>
      </c>
      <c r="B467" s="5" t="s">
        <v>2100</v>
      </c>
      <c r="C467" s="5"/>
      <c r="D467" s="5"/>
      <c r="E467" s="5" t="s">
        <v>42</v>
      </c>
      <c r="F467" s="5"/>
      <c r="G467" s="5"/>
      <c r="H467" s="5"/>
      <c r="I467" s="5"/>
      <c r="J467" s="5"/>
      <c r="K467" s="5" t="s">
        <v>2294</v>
      </c>
      <c r="L467" s="5"/>
    </row>
    <row r="468" customFormat="false" ht="23.25" hidden="false" customHeight="true" outlineLevel="0" collapsed="false">
      <c r="A468" s="5" t="s">
        <v>2103</v>
      </c>
      <c r="B468" s="5" t="s">
        <v>2104</v>
      </c>
      <c r="C468" s="5"/>
      <c r="D468" s="5"/>
      <c r="E468" s="5" t="s">
        <v>44</v>
      </c>
      <c r="F468" s="5"/>
      <c r="G468" s="5"/>
      <c r="H468" s="5"/>
      <c r="I468" s="5"/>
      <c r="J468" s="5"/>
      <c r="K468" s="5" t="s">
        <v>2294</v>
      </c>
      <c r="L468" s="5"/>
    </row>
    <row r="469" customFormat="false" ht="23.25" hidden="false" customHeight="true" outlineLevel="0" collapsed="false">
      <c r="A469" s="5" t="s">
        <v>2107</v>
      </c>
      <c r="B469" s="5" t="s">
        <v>2108</v>
      </c>
      <c r="C469" s="5"/>
      <c r="D469" s="5"/>
      <c r="E469" s="5" t="s">
        <v>42</v>
      </c>
      <c r="F469" s="5"/>
      <c r="G469" s="5"/>
      <c r="H469" s="5"/>
      <c r="I469" s="5"/>
      <c r="J469" s="5"/>
      <c r="K469" s="5" t="s">
        <v>2294</v>
      </c>
      <c r="L469" s="5"/>
    </row>
    <row r="470" customFormat="false" ht="23.25" hidden="false" customHeight="true" outlineLevel="0" collapsed="false">
      <c r="A470" s="5" t="s">
        <v>2111</v>
      </c>
      <c r="B470" s="5" t="s">
        <v>2112</v>
      </c>
      <c r="C470" s="5"/>
      <c r="D470" s="5"/>
      <c r="E470" s="5" t="s">
        <v>44</v>
      </c>
      <c r="F470" s="5"/>
      <c r="G470" s="5"/>
      <c r="H470" s="5"/>
      <c r="I470" s="5"/>
      <c r="J470" s="5"/>
      <c r="K470" s="5" t="s">
        <v>2294</v>
      </c>
      <c r="L470" s="5"/>
    </row>
    <row r="471" customFormat="false" ht="23.25" hidden="false" customHeight="true" outlineLevel="0" collapsed="false">
      <c r="A471" s="5" t="s">
        <v>2115</v>
      </c>
      <c r="B471" s="5" t="s">
        <v>2116</v>
      </c>
      <c r="C471" s="5"/>
      <c r="D471" s="5"/>
      <c r="E471" s="5" t="s">
        <v>42</v>
      </c>
      <c r="F471" s="5"/>
      <c r="G471" s="5"/>
      <c r="H471" s="5"/>
      <c r="I471" s="5"/>
      <c r="J471" s="5"/>
      <c r="K471" s="5" t="s">
        <v>2294</v>
      </c>
      <c r="L471" s="5"/>
    </row>
    <row r="472" customFormat="false" ht="23.25" hidden="false" customHeight="true" outlineLevel="0" collapsed="false">
      <c r="A472" s="5" t="s">
        <v>2119</v>
      </c>
      <c r="B472" s="5" t="s">
        <v>2120</v>
      </c>
      <c r="C472" s="5"/>
      <c r="D472" s="5"/>
      <c r="E472" s="5" t="s">
        <v>44</v>
      </c>
      <c r="F472" s="5"/>
      <c r="G472" s="5"/>
      <c r="H472" s="5"/>
      <c r="I472" s="5"/>
      <c r="J472" s="5"/>
      <c r="K472" s="5" t="s">
        <v>2294</v>
      </c>
      <c r="L472" s="5"/>
    </row>
    <row r="473" customFormat="false" ht="23.25" hidden="false" customHeight="true" outlineLevel="0" collapsed="false">
      <c r="A473" s="5" t="s">
        <v>2123</v>
      </c>
      <c r="B473" s="5" t="s">
        <v>2124</v>
      </c>
      <c r="C473" s="5"/>
      <c r="D473" s="5"/>
      <c r="E473" s="5" t="s">
        <v>44</v>
      </c>
      <c r="F473" s="5"/>
      <c r="G473" s="5"/>
      <c r="H473" s="5"/>
      <c r="I473" s="5"/>
      <c r="J473" s="5"/>
      <c r="K473" s="5" t="s">
        <v>2294</v>
      </c>
      <c r="L473" s="5"/>
    </row>
    <row r="474" customFormat="false" ht="23.25" hidden="false" customHeight="true" outlineLevel="0" collapsed="false">
      <c r="A474" s="5" t="s">
        <v>2127</v>
      </c>
      <c r="B474" s="5" t="s">
        <v>2128</v>
      </c>
      <c r="C474" s="5"/>
      <c r="D474" s="5"/>
      <c r="E474" s="5" t="s">
        <v>42</v>
      </c>
      <c r="F474" s="5"/>
      <c r="G474" s="5"/>
      <c r="H474" s="5"/>
      <c r="I474" s="5"/>
      <c r="J474" s="5"/>
      <c r="K474" s="5" t="s">
        <v>2294</v>
      </c>
      <c r="L474" s="5"/>
    </row>
    <row r="475" customFormat="false" ht="23.25" hidden="false" customHeight="true" outlineLevel="0" collapsed="false">
      <c r="A475" s="5" t="s">
        <v>2131</v>
      </c>
      <c r="B475" s="5" t="s">
        <v>2132</v>
      </c>
      <c r="C475" s="5"/>
      <c r="D475" s="5"/>
      <c r="E475" s="5" t="s">
        <v>44</v>
      </c>
      <c r="F475" s="5"/>
      <c r="G475" s="5"/>
      <c r="H475" s="5"/>
      <c r="I475" s="5"/>
      <c r="J475" s="5"/>
      <c r="K475" s="5" t="s">
        <v>2294</v>
      </c>
      <c r="L475" s="5"/>
    </row>
    <row r="476" customFormat="false" ht="15" hidden="false" customHeight="true" outlineLevel="0" collapsed="false">
      <c r="A476" s="5" t="s">
        <v>2135</v>
      </c>
      <c r="B476" s="5" t="s">
        <v>2136</v>
      </c>
      <c r="C476" s="5"/>
      <c r="D476" s="5"/>
      <c r="E476" s="5" t="s">
        <v>44</v>
      </c>
      <c r="F476" s="5"/>
      <c r="G476" s="5"/>
      <c r="H476" s="5"/>
      <c r="I476" s="5"/>
      <c r="J476" s="5"/>
      <c r="K476" s="5" t="s">
        <v>2294</v>
      </c>
      <c r="L476" s="5"/>
    </row>
    <row r="477" customFormat="false" ht="23.25" hidden="false" customHeight="true" outlineLevel="0" collapsed="false">
      <c r="A477" s="5" t="s">
        <v>2139</v>
      </c>
      <c r="B477" s="5" t="s">
        <v>2140</v>
      </c>
      <c r="C477" s="5"/>
      <c r="D477" s="5"/>
      <c r="E477" s="5" t="s">
        <v>44</v>
      </c>
      <c r="F477" s="5"/>
      <c r="G477" s="5"/>
      <c r="H477" s="5"/>
      <c r="I477" s="5"/>
      <c r="J477" s="5"/>
      <c r="K477" s="5" t="s">
        <v>2294</v>
      </c>
      <c r="L477" s="5"/>
    </row>
    <row r="478" customFormat="false" ht="15" hidden="false" customHeight="true" outlineLevel="0" collapsed="false">
      <c r="A478" s="5" t="s">
        <v>2144</v>
      </c>
      <c r="B478" s="5" t="s">
        <v>2145</v>
      </c>
      <c r="C478" s="5"/>
      <c r="D478" s="5"/>
      <c r="E478" s="5" t="s">
        <v>44</v>
      </c>
      <c r="F478" s="5"/>
      <c r="G478" s="5"/>
      <c r="H478" s="5"/>
      <c r="I478" s="5"/>
      <c r="J478" s="5"/>
      <c r="K478" s="5" t="s">
        <v>2294</v>
      </c>
      <c r="L478" s="5"/>
    </row>
    <row r="479" customFormat="false" ht="23.25" hidden="false" customHeight="true" outlineLevel="0" collapsed="false">
      <c r="A479" s="5" t="s">
        <v>2148</v>
      </c>
      <c r="B479" s="5" t="s">
        <v>2149</v>
      </c>
      <c r="C479" s="5"/>
      <c r="D479" s="5"/>
      <c r="E479" s="5" t="s">
        <v>44</v>
      </c>
      <c r="F479" s="5"/>
      <c r="G479" s="5"/>
      <c r="H479" s="5"/>
      <c r="I479" s="5"/>
      <c r="J479" s="5"/>
      <c r="K479" s="5" t="s">
        <v>2294</v>
      </c>
      <c r="L479" s="5"/>
    </row>
    <row r="480" customFormat="false" ht="23.25" hidden="false" customHeight="true" outlineLevel="0" collapsed="false">
      <c r="A480" s="5" t="s">
        <v>2152</v>
      </c>
      <c r="B480" s="5" t="s">
        <v>2153</v>
      </c>
      <c r="C480" s="5"/>
      <c r="D480" s="5"/>
      <c r="E480" s="5" t="s">
        <v>44</v>
      </c>
      <c r="F480" s="5"/>
      <c r="G480" s="5"/>
      <c r="H480" s="5"/>
      <c r="I480" s="5"/>
      <c r="J480" s="5"/>
      <c r="K480" s="5" t="s">
        <v>2294</v>
      </c>
      <c r="L480" s="5"/>
    </row>
    <row r="481" customFormat="false" ht="23.25" hidden="false" customHeight="true" outlineLevel="0" collapsed="false">
      <c r="A481" s="5" t="s">
        <v>2154</v>
      </c>
      <c r="B481" s="5" t="s">
        <v>2155</v>
      </c>
      <c r="C481" s="5"/>
      <c r="D481" s="5"/>
      <c r="E481" s="5" t="s">
        <v>44</v>
      </c>
      <c r="F481" s="5"/>
      <c r="G481" s="5"/>
      <c r="H481" s="5"/>
      <c r="I481" s="5"/>
      <c r="J481" s="5"/>
      <c r="K481" s="5" t="s">
        <v>2294</v>
      </c>
      <c r="L481" s="5"/>
    </row>
    <row r="482" customFormat="false" ht="23.25" hidden="false" customHeight="true" outlineLevel="0" collapsed="false">
      <c r="A482" s="5" t="s">
        <v>2158</v>
      </c>
      <c r="B482" s="5" t="s">
        <v>2159</v>
      </c>
      <c r="C482" s="5"/>
      <c r="D482" s="5"/>
      <c r="E482" s="5" t="s">
        <v>44</v>
      </c>
      <c r="F482" s="5"/>
      <c r="G482" s="5"/>
      <c r="H482" s="5"/>
      <c r="I482" s="5"/>
      <c r="J482" s="5"/>
      <c r="K482" s="5" t="s">
        <v>2294</v>
      </c>
      <c r="L482" s="5"/>
    </row>
    <row r="483" customFormat="false" ht="23.25" hidden="false" customHeight="true" outlineLevel="0" collapsed="false">
      <c r="A483" s="5" t="s">
        <v>2162</v>
      </c>
      <c r="B483" s="5" t="s">
        <v>2163</v>
      </c>
      <c r="C483" s="5"/>
      <c r="D483" s="5"/>
      <c r="E483" s="5" t="s">
        <v>44</v>
      </c>
      <c r="F483" s="5"/>
      <c r="G483" s="5"/>
      <c r="H483" s="5"/>
      <c r="I483" s="5"/>
      <c r="J483" s="5"/>
      <c r="K483" s="5" t="s">
        <v>2294</v>
      </c>
      <c r="L483" s="5"/>
    </row>
    <row r="484" customFormat="false" ht="23.25" hidden="false" customHeight="true" outlineLevel="0" collapsed="false">
      <c r="A484" s="5" t="s">
        <v>2166</v>
      </c>
      <c r="B484" s="5" t="s">
        <v>2167</v>
      </c>
      <c r="C484" s="5"/>
      <c r="D484" s="5"/>
      <c r="E484" s="5" t="s">
        <v>42</v>
      </c>
      <c r="F484" s="5"/>
      <c r="G484" s="5"/>
      <c r="H484" s="5"/>
      <c r="I484" s="5"/>
      <c r="J484" s="5"/>
      <c r="K484" s="5" t="s">
        <v>2294</v>
      </c>
      <c r="L484" s="5"/>
    </row>
    <row r="485" customFormat="false" ht="23.25" hidden="false" customHeight="true" outlineLevel="0" collapsed="false">
      <c r="A485" s="5" t="s">
        <v>2170</v>
      </c>
      <c r="B485" s="5" t="s">
        <v>2171</v>
      </c>
      <c r="C485" s="5"/>
      <c r="D485" s="5"/>
      <c r="E485" s="5" t="s">
        <v>42</v>
      </c>
      <c r="F485" s="5"/>
      <c r="G485" s="5"/>
      <c r="H485" s="5"/>
      <c r="I485" s="5"/>
      <c r="J485" s="5"/>
      <c r="K485" s="5" t="s">
        <v>2294</v>
      </c>
      <c r="L485" s="5"/>
    </row>
    <row r="486" customFormat="false" ht="23.25" hidden="false" customHeight="true" outlineLevel="0" collapsed="false">
      <c r="A486" s="5" t="s">
        <v>2172</v>
      </c>
      <c r="B486" s="5" t="s">
        <v>2173</v>
      </c>
      <c r="C486" s="5"/>
      <c r="D486" s="5"/>
      <c r="E486" s="5" t="s">
        <v>42</v>
      </c>
      <c r="F486" s="5"/>
      <c r="G486" s="5"/>
      <c r="H486" s="5"/>
      <c r="I486" s="5"/>
      <c r="J486" s="5"/>
      <c r="K486" s="5" t="s">
        <v>2294</v>
      </c>
      <c r="L486" s="5"/>
    </row>
    <row r="487" customFormat="false" ht="23.25" hidden="false" customHeight="true" outlineLevel="0" collapsed="false">
      <c r="A487" s="5" t="s">
        <v>2176</v>
      </c>
      <c r="B487" s="5" t="s">
        <v>2177</v>
      </c>
      <c r="C487" s="5"/>
      <c r="D487" s="5"/>
      <c r="E487" s="5" t="s">
        <v>44</v>
      </c>
      <c r="F487" s="5"/>
      <c r="G487" s="5"/>
      <c r="H487" s="5"/>
      <c r="I487" s="5"/>
      <c r="J487" s="5"/>
      <c r="K487" s="5" t="s">
        <v>2294</v>
      </c>
      <c r="L487" s="5"/>
    </row>
    <row r="488" customFormat="false" ht="15" hidden="false" customHeight="true" outlineLevel="0" collapsed="false">
      <c r="A488" s="5" t="s">
        <v>2181</v>
      </c>
      <c r="B488" s="5" t="s">
        <v>2182</v>
      </c>
      <c r="C488" s="5"/>
      <c r="D488" s="5"/>
      <c r="E488" s="5" t="s">
        <v>44</v>
      </c>
      <c r="F488" s="5"/>
      <c r="G488" s="5"/>
      <c r="H488" s="5"/>
      <c r="I488" s="5"/>
      <c r="J488" s="5"/>
      <c r="K488" s="5" t="s">
        <v>2294</v>
      </c>
      <c r="L488" s="5"/>
    </row>
    <row r="489" customFormat="false" ht="15" hidden="false" customHeight="true" outlineLevel="0" collapsed="false">
      <c r="A489" s="5" t="s">
        <v>2186</v>
      </c>
      <c r="B489" s="5" t="s">
        <v>2187</v>
      </c>
      <c r="C489" s="5"/>
      <c r="D489" s="5"/>
      <c r="E489" s="5" t="s">
        <v>44</v>
      </c>
      <c r="F489" s="5"/>
      <c r="G489" s="5"/>
      <c r="H489" s="5"/>
      <c r="I489" s="5"/>
      <c r="J489" s="5"/>
      <c r="K489" s="5" t="s">
        <v>2294</v>
      </c>
      <c r="L489" s="5"/>
    </row>
    <row r="490" customFormat="false" ht="23.25" hidden="false" customHeight="true" outlineLevel="0" collapsed="false">
      <c r="A490" s="5" t="s">
        <v>2190</v>
      </c>
      <c r="B490" s="5" t="s">
        <v>2191</v>
      </c>
      <c r="C490" s="5"/>
      <c r="D490" s="5"/>
      <c r="E490" s="5" t="s">
        <v>44</v>
      </c>
      <c r="F490" s="5"/>
      <c r="G490" s="5"/>
      <c r="H490" s="5"/>
      <c r="I490" s="5"/>
      <c r="J490" s="5"/>
      <c r="K490" s="5" t="s">
        <v>2294</v>
      </c>
      <c r="L490" s="5"/>
    </row>
    <row r="491" customFormat="false" ht="23.25" hidden="false" customHeight="true" outlineLevel="0" collapsed="false">
      <c r="A491" s="5" t="s">
        <v>2192</v>
      </c>
      <c r="B491" s="5" t="s">
        <v>2193</v>
      </c>
      <c r="C491" s="5"/>
      <c r="D491" s="5"/>
      <c r="E491" s="5" t="s">
        <v>44</v>
      </c>
      <c r="F491" s="5"/>
      <c r="G491" s="5"/>
      <c r="H491" s="5"/>
      <c r="I491" s="5"/>
      <c r="J491" s="5"/>
      <c r="K491" s="5" t="s">
        <v>2294</v>
      </c>
      <c r="L491" s="5"/>
    </row>
    <row r="492" customFormat="false" ht="15" hidden="false" customHeight="true" outlineLevel="0" collapsed="false">
      <c r="A492" s="5" t="s">
        <v>2196</v>
      </c>
      <c r="B492" s="5" t="s">
        <v>2197</v>
      </c>
      <c r="C492" s="5"/>
      <c r="D492" s="5"/>
      <c r="E492" s="5" t="s">
        <v>42</v>
      </c>
      <c r="F492" s="5"/>
      <c r="G492" s="5"/>
      <c r="H492" s="5"/>
      <c r="I492" s="5"/>
      <c r="J492" s="5"/>
      <c r="K492" s="5" t="s">
        <v>2294</v>
      </c>
      <c r="L492" s="5"/>
    </row>
    <row r="493" customFormat="false" ht="23.25" hidden="false" customHeight="true" outlineLevel="0" collapsed="false">
      <c r="A493" s="5" t="s">
        <v>2202</v>
      </c>
      <c r="B493" s="5" t="s">
        <v>2203</v>
      </c>
      <c r="C493" s="5"/>
      <c r="D493" s="5"/>
      <c r="E493" s="5" t="s">
        <v>44</v>
      </c>
      <c r="F493" s="5"/>
      <c r="G493" s="5"/>
      <c r="H493" s="5"/>
      <c r="I493" s="5"/>
      <c r="J493" s="5"/>
      <c r="K493" s="5" t="s">
        <v>2294</v>
      </c>
      <c r="L493" s="5"/>
    </row>
    <row r="494" customFormat="false" ht="23.25" hidden="false" customHeight="true" outlineLevel="0" collapsed="false">
      <c r="A494" s="5" t="s">
        <v>2206</v>
      </c>
      <c r="B494" s="5" t="s">
        <v>2207</v>
      </c>
      <c r="C494" s="5"/>
      <c r="D494" s="5"/>
      <c r="E494" s="5" t="s">
        <v>42</v>
      </c>
      <c r="F494" s="5"/>
      <c r="G494" s="5"/>
      <c r="H494" s="5"/>
      <c r="I494" s="5"/>
      <c r="J494" s="5"/>
      <c r="K494" s="5" t="s">
        <v>2294</v>
      </c>
      <c r="L494" s="5"/>
    </row>
    <row r="495" customFormat="false" ht="23.25" hidden="false" customHeight="true" outlineLevel="0" collapsed="false">
      <c r="A495" s="5" t="s">
        <v>2210</v>
      </c>
      <c r="B495" s="5" t="s">
        <v>2211</v>
      </c>
      <c r="C495" s="5"/>
      <c r="D495" s="5"/>
      <c r="E495" s="5" t="s">
        <v>42</v>
      </c>
      <c r="F495" s="5"/>
      <c r="G495" s="5"/>
      <c r="H495" s="5"/>
      <c r="I495" s="5"/>
      <c r="J495" s="5"/>
      <c r="K495" s="5" t="s">
        <v>2294</v>
      </c>
      <c r="L495" s="5"/>
    </row>
    <row r="496" customFormat="false" ht="15" hidden="false" customHeight="true" outlineLevel="0" collapsed="false">
      <c r="A496" s="5" t="s">
        <v>2214</v>
      </c>
      <c r="B496" s="5" t="s">
        <v>2215</v>
      </c>
      <c r="C496" s="5"/>
      <c r="D496" s="5"/>
      <c r="E496" s="5" t="s">
        <v>44</v>
      </c>
      <c r="F496" s="5"/>
      <c r="G496" s="5"/>
      <c r="H496" s="5"/>
      <c r="I496" s="5"/>
      <c r="J496" s="5"/>
      <c r="K496" s="5" t="s">
        <v>2294</v>
      </c>
      <c r="L496" s="5"/>
    </row>
    <row r="497" customFormat="false" ht="23.25" hidden="false" customHeight="true" outlineLevel="0" collapsed="false">
      <c r="A497" s="5" t="s">
        <v>2218</v>
      </c>
      <c r="B497" s="5" t="s">
        <v>2219</v>
      </c>
      <c r="C497" s="5"/>
      <c r="D497" s="5"/>
      <c r="E497" s="5" t="s">
        <v>44</v>
      </c>
      <c r="F497" s="5"/>
      <c r="G497" s="5"/>
      <c r="H497" s="5"/>
      <c r="I497" s="5"/>
      <c r="J497" s="5"/>
      <c r="K497" s="5" t="s">
        <v>2294</v>
      </c>
      <c r="L497" s="5"/>
    </row>
    <row r="498" customFormat="false" ht="15" hidden="false" customHeight="true" outlineLevel="0" collapsed="false">
      <c r="A498" s="5" t="s">
        <v>2222</v>
      </c>
      <c r="B498" s="5" t="s">
        <v>2223</v>
      </c>
      <c r="C498" s="5"/>
      <c r="D498" s="5"/>
      <c r="E498" s="5" t="s">
        <v>44</v>
      </c>
      <c r="F498" s="5"/>
      <c r="G498" s="5"/>
      <c r="H498" s="5"/>
      <c r="I498" s="5"/>
      <c r="J498" s="5"/>
      <c r="K498" s="5" t="s">
        <v>2294</v>
      </c>
      <c r="L498" s="5"/>
    </row>
    <row r="499" customFormat="false" ht="15" hidden="false" customHeight="true" outlineLevel="0" collapsed="false">
      <c r="A499" s="5" t="s">
        <v>2224</v>
      </c>
      <c r="B499" s="5" t="s">
        <v>2225</v>
      </c>
      <c r="C499" s="5"/>
      <c r="D499" s="5"/>
      <c r="E499" s="5" t="s">
        <v>44</v>
      </c>
      <c r="F499" s="5"/>
      <c r="G499" s="5"/>
      <c r="H499" s="5"/>
      <c r="I499" s="5"/>
      <c r="J499" s="5"/>
      <c r="K499" s="5" t="s">
        <v>2294</v>
      </c>
      <c r="L499" s="5"/>
    </row>
    <row r="500" customFormat="false" ht="23.25" hidden="false" customHeight="true" outlineLevel="0" collapsed="false">
      <c r="A500" s="5" t="s">
        <v>2228</v>
      </c>
      <c r="B500" s="5" t="s">
        <v>2229</v>
      </c>
      <c r="C500" s="5"/>
      <c r="D500" s="5"/>
      <c r="E500" s="5" t="s">
        <v>42</v>
      </c>
      <c r="F500" s="5"/>
      <c r="G500" s="5"/>
      <c r="H500" s="5"/>
      <c r="I500" s="5"/>
      <c r="J500" s="5"/>
      <c r="K500" s="5" t="s">
        <v>2294</v>
      </c>
      <c r="L500" s="5"/>
    </row>
    <row r="501" customFormat="false" ht="23.25" hidden="false" customHeight="true" outlineLevel="0" collapsed="false">
      <c r="A501" s="5" t="s">
        <v>2230</v>
      </c>
      <c r="B501" s="5" t="s">
        <v>2231</v>
      </c>
      <c r="C501" s="5"/>
      <c r="D501" s="5"/>
      <c r="E501" s="5" t="s">
        <v>44</v>
      </c>
      <c r="F501" s="5"/>
      <c r="G501" s="5"/>
      <c r="H501" s="5"/>
      <c r="I501" s="5"/>
      <c r="J501" s="5"/>
      <c r="K501" s="5" t="s">
        <v>2294</v>
      </c>
      <c r="L501" s="5"/>
    </row>
    <row r="502" customFormat="false" ht="23.25" hidden="false" customHeight="true" outlineLevel="0" collapsed="false">
      <c r="A502" s="5" t="s">
        <v>2234</v>
      </c>
      <c r="B502" s="5" t="s">
        <v>2235</v>
      </c>
      <c r="C502" s="5"/>
      <c r="D502" s="5"/>
      <c r="E502" s="5" t="s">
        <v>42</v>
      </c>
      <c r="F502" s="5"/>
      <c r="G502" s="5"/>
      <c r="H502" s="5"/>
      <c r="I502" s="5"/>
      <c r="J502" s="5"/>
      <c r="K502" s="5" t="s">
        <v>2294</v>
      </c>
      <c r="L502" s="5"/>
    </row>
    <row r="503" customFormat="false" ht="23.25" hidden="false" customHeight="true" outlineLevel="0" collapsed="false">
      <c r="A503" s="5" t="s">
        <v>2238</v>
      </c>
      <c r="B503" s="5" t="s">
        <v>2239</v>
      </c>
      <c r="C503" s="5"/>
      <c r="D503" s="5"/>
      <c r="E503" s="5" t="s">
        <v>44</v>
      </c>
      <c r="F503" s="5"/>
      <c r="G503" s="5"/>
      <c r="H503" s="5"/>
      <c r="I503" s="5"/>
      <c r="J503" s="5"/>
      <c r="K503" s="5" t="s">
        <v>2294</v>
      </c>
      <c r="L503" s="5"/>
    </row>
    <row r="504" customFormat="false" ht="23.25" hidden="false" customHeight="true" outlineLevel="0" collapsed="false">
      <c r="A504" s="5" t="s">
        <v>2243</v>
      </c>
      <c r="B504" s="5" t="s">
        <v>2244</v>
      </c>
      <c r="C504" s="5"/>
      <c r="D504" s="5"/>
      <c r="E504" s="5" t="s">
        <v>44</v>
      </c>
      <c r="F504" s="5"/>
      <c r="G504" s="5"/>
      <c r="H504" s="5"/>
      <c r="I504" s="5"/>
      <c r="J504" s="5"/>
      <c r="K504" s="5" t="s">
        <v>2294</v>
      </c>
      <c r="L504" s="5"/>
    </row>
    <row r="505" customFormat="false" ht="23.25" hidden="false" customHeight="true" outlineLevel="0" collapsed="false">
      <c r="A505" s="5" t="s">
        <v>2247</v>
      </c>
      <c r="B505" s="5" t="s">
        <v>2248</v>
      </c>
      <c r="C505" s="5"/>
      <c r="D505" s="5"/>
      <c r="E505" s="5" t="s">
        <v>42</v>
      </c>
      <c r="F505" s="5"/>
      <c r="G505" s="5"/>
      <c r="H505" s="5"/>
      <c r="I505" s="5"/>
      <c r="J505" s="5"/>
      <c r="K505" s="5" t="s">
        <v>2294</v>
      </c>
      <c r="L505" s="5"/>
    </row>
    <row r="506" customFormat="false" ht="34.5" hidden="false" customHeight="true" outlineLevel="0" collapsed="false">
      <c r="A506" s="5" t="s">
        <v>2251</v>
      </c>
      <c r="B506" s="5" t="s">
        <v>2252</v>
      </c>
      <c r="C506" s="5"/>
      <c r="D506" s="5"/>
      <c r="E506" s="5" t="s">
        <v>44</v>
      </c>
      <c r="F506" s="5"/>
      <c r="G506" s="5"/>
      <c r="H506" s="5"/>
      <c r="I506" s="5"/>
      <c r="J506" s="5"/>
      <c r="K506" s="5" t="s">
        <v>2294</v>
      </c>
      <c r="L506" s="5"/>
    </row>
    <row r="507" customFormat="false" ht="23.25" hidden="false" customHeight="true" outlineLevel="0" collapsed="false">
      <c r="A507" s="5" t="s">
        <v>2255</v>
      </c>
      <c r="B507" s="5" t="s">
        <v>2256</v>
      </c>
      <c r="C507" s="5"/>
      <c r="D507" s="5"/>
      <c r="E507" s="5" t="s">
        <v>44</v>
      </c>
      <c r="F507" s="5"/>
      <c r="G507" s="5"/>
      <c r="H507" s="5"/>
      <c r="I507" s="5"/>
      <c r="J507" s="5"/>
      <c r="K507" s="5" t="s">
        <v>2294</v>
      </c>
      <c r="L507" s="5"/>
    </row>
    <row r="508" customFormat="false" ht="23.25" hidden="false" customHeight="true" outlineLevel="0" collapsed="false">
      <c r="A508" s="5" t="s">
        <v>2259</v>
      </c>
      <c r="B508" s="5" t="s">
        <v>2260</v>
      </c>
      <c r="C508" s="5"/>
      <c r="D508" s="5"/>
      <c r="E508" s="5" t="s">
        <v>44</v>
      </c>
      <c r="F508" s="5"/>
      <c r="G508" s="5"/>
      <c r="H508" s="5"/>
      <c r="I508" s="5"/>
      <c r="J508" s="5"/>
      <c r="K508" s="5" t="s">
        <v>2294</v>
      </c>
      <c r="L508" s="5"/>
    </row>
    <row r="509" customFormat="false" ht="23.25" hidden="false" customHeight="true" outlineLevel="0" collapsed="false">
      <c r="A509" s="5" t="s">
        <v>2263</v>
      </c>
      <c r="B509" s="5" t="s">
        <v>2264</v>
      </c>
      <c r="C509" s="5"/>
      <c r="D509" s="5"/>
      <c r="E509" s="5" t="s">
        <v>42</v>
      </c>
      <c r="F509" s="5"/>
      <c r="G509" s="5"/>
      <c r="H509" s="5"/>
      <c r="I509" s="5"/>
      <c r="J509" s="5"/>
      <c r="K509" s="5" t="s">
        <v>2294</v>
      </c>
      <c r="L509" s="5"/>
    </row>
    <row r="510" customFormat="false" ht="15" hidden="false" customHeight="true" outlineLevel="0" collapsed="false">
      <c r="A510" s="5" t="s">
        <v>2268</v>
      </c>
      <c r="B510" s="5" t="s">
        <v>2269</v>
      </c>
      <c r="C510" s="5"/>
      <c r="D510" s="5"/>
      <c r="E510" s="5" t="s">
        <v>42</v>
      </c>
      <c r="F510" s="5"/>
      <c r="G510" s="5"/>
      <c r="H510" s="5"/>
      <c r="I510" s="5"/>
      <c r="J510" s="5"/>
      <c r="K510" s="5" t="s">
        <v>2294</v>
      </c>
      <c r="L510" s="5"/>
    </row>
    <row r="511" customFormat="false" ht="15" hidden="false" customHeight="true" outlineLevel="0" collapsed="false">
      <c r="A511" s="5" t="s">
        <v>2272</v>
      </c>
      <c r="B511" s="5" t="s">
        <v>2273</v>
      </c>
      <c r="C511" s="5"/>
      <c r="D511" s="5"/>
      <c r="E511" s="5" t="s">
        <v>44</v>
      </c>
      <c r="F511" s="5"/>
      <c r="G511" s="5"/>
      <c r="H511" s="5"/>
      <c r="I511" s="5"/>
      <c r="J511" s="5"/>
      <c r="K511" s="5" t="s">
        <v>2294</v>
      </c>
      <c r="L511" s="5"/>
    </row>
    <row r="512" customFormat="false" ht="15" hidden="false" customHeight="true" outlineLevel="0" collapsed="false">
      <c r="A512" s="5" t="s">
        <v>2276</v>
      </c>
      <c r="B512" s="5" t="s">
        <v>2277</v>
      </c>
      <c r="C512" s="5"/>
      <c r="D512" s="5"/>
      <c r="E512" s="5" t="s">
        <v>44</v>
      </c>
      <c r="F512" s="5"/>
      <c r="G512" s="5"/>
      <c r="H512" s="5"/>
      <c r="I512" s="5"/>
      <c r="J512" s="5"/>
      <c r="K512" s="5" t="s">
        <v>2294</v>
      </c>
      <c r="L512" s="5"/>
    </row>
    <row r="513" customFormat="false" ht="23.25" hidden="false" customHeight="true" outlineLevel="0" collapsed="false">
      <c r="A513" s="5" t="s">
        <v>2280</v>
      </c>
      <c r="B513" s="5" t="s">
        <v>2281</v>
      </c>
      <c r="C513" s="5"/>
      <c r="D513" s="5"/>
      <c r="E513" s="5" t="s">
        <v>42</v>
      </c>
      <c r="F513" s="5"/>
      <c r="G513" s="5"/>
      <c r="H513" s="5"/>
      <c r="I513" s="5"/>
      <c r="J513" s="5"/>
      <c r="K513" s="5" t="s">
        <v>2294</v>
      </c>
      <c r="L513" s="5"/>
    </row>
  </sheetData>
  <dataValidations count="2">
    <dataValidation allowBlank="true" errorStyle="stop" operator="between" showDropDown="false" showErrorMessage="false" showInputMessage="false" sqref="F2:F513" type="list">
      <formula1>LISTAS!$C$2:$C$5</formula1>
      <formula2>0</formula2>
    </dataValidation>
    <dataValidation allowBlank="true" errorStyle="stop" operator="between" showDropDown="false" showErrorMessage="false" showInputMessage="false" sqref="E2:E513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38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20"/>
    <col collapsed="false" customWidth="true" hidden="false" outlineLevel="0" max="10" min="10" style="1" width="18"/>
    <col collapsed="false" customWidth="true" hidden="false" outlineLevel="0" max="11" min="11" style="1" width="28"/>
    <col collapsed="false" customWidth="true" hidden="false" outlineLevel="0" max="12" min="12" style="1" width="40"/>
  </cols>
  <sheetData>
    <row r="1" customFormat="false" ht="23.25" hidden="false" customHeight="true" outlineLevel="0" collapsed="false">
      <c r="A1" s="4" t="s">
        <v>2295</v>
      </c>
      <c r="B1" s="4" t="s">
        <v>12</v>
      </c>
      <c r="C1" s="4" t="s">
        <v>14</v>
      </c>
      <c r="D1" s="4" t="s">
        <v>13</v>
      </c>
      <c r="E1" s="4" t="s">
        <v>2292</v>
      </c>
      <c r="F1" s="4" t="s">
        <v>2296</v>
      </c>
      <c r="G1" s="4" t="s">
        <v>2297</v>
      </c>
      <c r="H1" s="4" t="s">
        <v>2298</v>
      </c>
      <c r="I1" s="4" t="s">
        <v>2299</v>
      </c>
      <c r="J1" s="4" t="s">
        <v>2300</v>
      </c>
      <c r="K1" s="4" t="s">
        <v>2301</v>
      </c>
      <c r="L1" s="4" t="s">
        <v>2293</v>
      </c>
    </row>
    <row r="2" customFormat="false" ht="23.25" hidden="false" customHeight="true" outlineLevel="0" collapsed="false">
      <c r="A2" s="5" t="s">
        <v>324</v>
      </c>
      <c r="B2" s="5" t="s">
        <v>321</v>
      </c>
      <c r="C2" s="5" t="s">
        <v>322</v>
      </c>
      <c r="D2" s="5" t="s">
        <v>2302</v>
      </c>
      <c r="E2" s="5" t="s">
        <v>2303</v>
      </c>
      <c r="F2" s="5"/>
      <c r="G2" s="5"/>
      <c r="H2" s="5"/>
      <c r="I2" s="7"/>
      <c r="J2" s="8" t="str">
        <f aca="true">IF(I2="","",TODAY()-I2)</f>
        <v/>
      </c>
      <c r="K2" s="5"/>
      <c r="L2" s="5"/>
    </row>
    <row r="3" customFormat="false" ht="23.25" hidden="false" customHeight="true" outlineLevel="0" collapsed="false">
      <c r="A3" s="5" t="s">
        <v>404</v>
      </c>
      <c r="B3" s="5" t="s">
        <v>401</v>
      </c>
      <c r="C3" s="5" t="s">
        <v>402</v>
      </c>
      <c r="D3" s="5" t="s">
        <v>2302</v>
      </c>
      <c r="E3" s="5" t="s">
        <v>2303</v>
      </c>
      <c r="F3" s="5"/>
      <c r="G3" s="5"/>
      <c r="H3" s="5"/>
      <c r="I3" s="7"/>
      <c r="J3" s="8" t="str">
        <f aca="true">IF(I3="","",TODAY()-I3)</f>
        <v/>
      </c>
      <c r="K3" s="5"/>
      <c r="L3" s="5"/>
    </row>
    <row r="4" customFormat="false" ht="23.25" hidden="false" customHeight="true" outlineLevel="0" collapsed="false">
      <c r="A4" s="5" t="s">
        <v>415</v>
      </c>
      <c r="B4" s="5" t="s">
        <v>412</v>
      </c>
      <c r="C4" s="5" t="s">
        <v>413</v>
      </c>
      <c r="D4" s="5" t="s">
        <v>2302</v>
      </c>
      <c r="E4" s="5" t="s">
        <v>2303</v>
      </c>
      <c r="F4" s="5"/>
      <c r="G4" s="5"/>
      <c r="H4" s="5"/>
      <c r="I4" s="7"/>
      <c r="J4" s="8" t="str">
        <f aca="true">IF(I4="","",TODAY()-I4)</f>
        <v/>
      </c>
      <c r="K4" s="5"/>
      <c r="L4" s="5"/>
    </row>
    <row r="5" customFormat="false" ht="23.25" hidden="false" customHeight="true" outlineLevel="0" collapsed="false">
      <c r="A5" s="5" t="s">
        <v>423</v>
      </c>
      <c r="B5" s="5" t="s">
        <v>419</v>
      </c>
      <c r="C5" s="5" t="s">
        <v>420</v>
      </c>
      <c r="D5" s="5" t="s">
        <v>2302</v>
      </c>
      <c r="E5" s="5" t="s">
        <v>2303</v>
      </c>
      <c r="F5" s="5"/>
      <c r="G5" s="5"/>
      <c r="H5" s="5"/>
      <c r="I5" s="7"/>
      <c r="J5" s="8" t="str">
        <f aca="true">IF(I5="","",TODAY()-I5)</f>
        <v/>
      </c>
      <c r="K5" s="5"/>
      <c r="L5" s="5"/>
    </row>
    <row r="6" customFormat="false" ht="15" hidden="false" customHeight="true" outlineLevel="0" collapsed="false">
      <c r="A6" s="5" t="s">
        <v>437</v>
      </c>
      <c r="B6" s="5" t="s">
        <v>433</v>
      </c>
      <c r="C6" s="5" t="s">
        <v>434</v>
      </c>
      <c r="D6" s="5" t="s">
        <v>2302</v>
      </c>
      <c r="E6" s="5" t="s">
        <v>2303</v>
      </c>
      <c r="F6" s="5"/>
      <c r="G6" s="5"/>
      <c r="H6" s="5"/>
      <c r="I6" s="7"/>
      <c r="J6" s="8" t="str">
        <f aca="true">IF(I6="","",TODAY()-I6)</f>
        <v/>
      </c>
      <c r="K6" s="5"/>
      <c r="L6" s="5"/>
    </row>
    <row r="7" customFormat="false" ht="23.25" hidden="false" customHeight="true" outlineLevel="0" collapsed="false">
      <c r="A7" s="5" t="s">
        <v>448</v>
      </c>
      <c r="B7" s="5" t="s">
        <v>444</v>
      </c>
      <c r="C7" s="5" t="s">
        <v>445</v>
      </c>
      <c r="D7" s="5" t="s">
        <v>2302</v>
      </c>
      <c r="E7" s="5" t="s">
        <v>2303</v>
      </c>
      <c r="F7" s="5"/>
      <c r="G7" s="5"/>
      <c r="H7" s="5"/>
      <c r="I7" s="7"/>
      <c r="J7" s="8" t="str">
        <f aca="true">IF(I7="","",TODAY()-I7)</f>
        <v/>
      </c>
      <c r="K7" s="5"/>
      <c r="L7" s="5"/>
    </row>
    <row r="8" customFormat="false" ht="15" hidden="false" customHeight="true" outlineLevel="0" collapsed="false">
      <c r="A8" s="5" t="s">
        <v>475</v>
      </c>
      <c r="B8" s="5" t="s">
        <v>471</v>
      </c>
      <c r="C8" s="5" t="s">
        <v>472</v>
      </c>
      <c r="D8" s="5" t="s">
        <v>2302</v>
      </c>
      <c r="E8" s="5" t="s">
        <v>2303</v>
      </c>
      <c r="F8" s="5"/>
      <c r="G8" s="5"/>
      <c r="H8" s="5"/>
      <c r="I8" s="7"/>
      <c r="J8" s="8" t="str">
        <f aca="true">IF(I8="","",TODAY()-I8)</f>
        <v/>
      </c>
      <c r="K8" s="5"/>
      <c r="L8" s="5"/>
    </row>
    <row r="9" customFormat="false" ht="15" hidden="false" customHeight="true" outlineLevel="0" collapsed="false">
      <c r="A9" s="5" t="s">
        <v>494</v>
      </c>
      <c r="B9" s="5" t="s">
        <v>490</v>
      </c>
      <c r="C9" s="5" t="s">
        <v>491</v>
      </c>
      <c r="D9" s="5" t="s">
        <v>2302</v>
      </c>
      <c r="E9" s="5" t="s">
        <v>2303</v>
      </c>
      <c r="F9" s="5"/>
      <c r="G9" s="5"/>
      <c r="H9" s="5"/>
      <c r="I9" s="7"/>
      <c r="J9" s="8" t="str">
        <f aca="true">IF(I9="","",TODAY()-I9)</f>
        <v/>
      </c>
      <c r="K9" s="5"/>
      <c r="L9" s="5"/>
    </row>
    <row r="10" customFormat="false" ht="15" hidden="false" customHeight="true" outlineLevel="0" collapsed="false">
      <c r="A10" s="5" t="s">
        <v>512</v>
      </c>
      <c r="B10" s="5" t="s">
        <v>509</v>
      </c>
      <c r="C10" s="5" t="s">
        <v>510</v>
      </c>
      <c r="D10" s="5" t="s">
        <v>2302</v>
      </c>
      <c r="E10" s="5" t="s">
        <v>2303</v>
      </c>
      <c r="F10" s="5"/>
      <c r="G10" s="5"/>
      <c r="H10" s="5"/>
      <c r="I10" s="7"/>
      <c r="J10" s="8" t="str">
        <f aca="true">IF(I10="","",TODAY()-I10)</f>
        <v/>
      </c>
      <c r="K10" s="5"/>
      <c r="L10" s="5"/>
    </row>
    <row r="11" customFormat="false" ht="15" hidden="false" customHeight="true" outlineLevel="0" collapsed="false">
      <c r="A11" s="5" t="s">
        <v>517</v>
      </c>
      <c r="B11" s="5" t="s">
        <v>514</v>
      </c>
      <c r="C11" s="5" t="s">
        <v>515</v>
      </c>
      <c r="D11" s="5" t="s">
        <v>2302</v>
      </c>
      <c r="E11" s="5" t="s">
        <v>2303</v>
      </c>
      <c r="F11" s="5"/>
      <c r="G11" s="5"/>
      <c r="H11" s="5"/>
      <c r="I11" s="7"/>
      <c r="J11" s="8" t="str">
        <f aca="true">IF(I11="","",TODAY()-I11)</f>
        <v/>
      </c>
      <c r="K11" s="5"/>
      <c r="L11" s="5"/>
    </row>
    <row r="12" customFormat="false" ht="23.25" hidden="false" customHeight="true" outlineLevel="0" collapsed="false">
      <c r="A12" s="5" t="s">
        <v>581</v>
      </c>
      <c r="B12" s="5" t="s">
        <v>579</v>
      </c>
      <c r="C12" s="5" t="s">
        <v>580</v>
      </c>
      <c r="D12" s="5" t="s">
        <v>2302</v>
      </c>
      <c r="E12" s="5" t="s">
        <v>2303</v>
      </c>
      <c r="F12" s="5"/>
      <c r="G12" s="5"/>
      <c r="H12" s="5"/>
      <c r="I12" s="7"/>
      <c r="J12" s="8" t="str">
        <f aca="true">IF(I12="","",TODAY()-I12)</f>
        <v/>
      </c>
      <c r="K12" s="5"/>
      <c r="L12" s="5"/>
    </row>
    <row r="13" customFormat="false" ht="15" hidden="false" customHeight="true" outlineLevel="0" collapsed="false">
      <c r="A13" s="5" t="s">
        <v>585</v>
      </c>
      <c r="B13" s="5" t="s">
        <v>582</v>
      </c>
      <c r="C13" s="5" t="s">
        <v>583</v>
      </c>
      <c r="D13" s="5" t="s">
        <v>2302</v>
      </c>
      <c r="E13" s="5" t="s">
        <v>2303</v>
      </c>
      <c r="F13" s="5"/>
      <c r="G13" s="5"/>
      <c r="H13" s="5"/>
      <c r="I13" s="7"/>
      <c r="J13" s="8" t="str">
        <f aca="true">IF(I13="","",TODAY()-I13)</f>
        <v/>
      </c>
      <c r="K13" s="5"/>
      <c r="L13" s="5"/>
    </row>
    <row r="14" customFormat="false" ht="23.25" hidden="false" customHeight="true" outlineLevel="0" collapsed="false">
      <c r="A14" s="5" t="s">
        <v>591</v>
      </c>
      <c r="B14" s="5" t="s">
        <v>587</v>
      </c>
      <c r="C14" s="5" t="s">
        <v>588</v>
      </c>
      <c r="D14" s="5" t="s">
        <v>2302</v>
      </c>
      <c r="E14" s="5" t="s">
        <v>2303</v>
      </c>
      <c r="F14" s="5"/>
      <c r="G14" s="5"/>
      <c r="H14" s="5"/>
      <c r="I14" s="7"/>
      <c r="J14" s="8" t="str">
        <f aca="true">IF(I14="","",TODAY()-I14)</f>
        <v/>
      </c>
      <c r="K14" s="5"/>
      <c r="L14" s="5"/>
    </row>
    <row r="15" customFormat="false" ht="23.25" hidden="false" customHeight="true" outlineLevel="0" collapsed="false">
      <c r="A15" s="5" t="s">
        <v>592</v>
      </c>
      <c r="B15" s="5" t="s">
        <v>587</v>
      </c>
      <c r="C15" s="5" t="s">
        <v>588</v>
      </c>
      <c r="D15" s="5" t="s">
        <v>2304</v>
      </c>
      <c r="E15" s="5" t="s">
        <v>2305</v>
      </c>
      <c r="F15" s="5"/>
      <c r="G15" s="5"/>
      <c r="H15" s="5"/>
      <c r="I15" s="7"/>
      <c r="J15" s="8" t="str">
        <f aca="true">IF(I15="","",TODAY()-I15)</f>
        <v/>
      </c>
      <c r="K15" s="5"/>
      <c r="L15" s="5"/>
    </row>
    <row r="16" customFormat="false" ht="23.25" hidden="false" customHeight="true" outlineLevel="0" collapsed="false">
      <c r="A16" s="5" t="s">
        <v>597</v>
      </c>
      <c r="B16" s="5" t="s">
        <v>594</v>
      </c>
      <c r="C16" s="5" t="s">
        <v>595</v>
      </c>
      <c r="D16" s="5" t="s">
        <v>2302</v>
      </c>
      <c r="E16" s="5" t="s">
        <v>2303</v>
      </c>
      <c r="F16" s="5"/>
      <c r="G16" s="5"/>
      <c r="H16" s="5"/>
      <c r="I16" s="7"/>
      <c r="J16" s="8" t="str">
        <f aca="true">IF(I16="","",TODAY()-I16)</f>
        <v/>
      </c>
      <c r="K16" s="5"/>
      <c r="L16" s="5"/>
    </row>
    <row r="17" customFormat="false" ht="23.25" hidden="false" customHeight="true" outlineLevel="0" collapsed="false">
      <c r="A17" s="5" t="s">
        <v>602</v>
      </c>
      <c r="B17" s="5" t="s">
        <v>599</v>
      </c>
      <c r="C17" s="5" t="s">
        <v>600</v>
      </c>
      <c r="D17" s="5" t="s">
        <v>2302</v>
      </c>
      <c r="E17" s="5" t="s">
        <v>2303</v>
      </c>
      <c r="F17" s="5"/>
      <c r="G17" s="5"/>
      <c r="H17" s="5"/>
      <c r="I17" s="7"/>
      <c r="J17" s="8" t="str">
        <f aca="true">IF(I17="","",TODAY()-I17)</f>
        <v/>
      </c>
      <c r="K17" s="5"/>
      <c r="L17" s="5"/>
    </row>
    <row r="18" customFormat="false" ht="15" hidden="false" customHeight="true" outlineLevel="0" collapsed="false">
      <c r="A18" s="5" t="s">
        <v>698</v>
      </c>
      <c r="B18" s="5" t="s">
        <v>694</v>
      </c>
      <c r="C18" s="5" t="s">
        <v>695</v>
      </c>
      <c r="D18" s="5" t="s">
        <v>2302</v>
      </c>
      <c r="E18" s="5" t="s">
        <v>2303</v>
      </c>
      <c r="F18" s="5"/>
      <c r="G18" s="5"/>
      <c r="H18" s="5"/>
      <c r="I18" s="7"/>
      <c r="J18" s="8" t="str">
        <f aca="true">IF(I18="","",TODAY()-I18)</f>
        <v/>
      </c>
      <c r="K18" s="5"/>
      <c r="L18" s="5"/>
    </row>
    <row r="19" customFormat="false" ht="15" hidden="false" customHeight="true" outlineLevel="0" collapsed="false">
      <c r="A19" s="5" t="s">
        <v>722</v>
      </c>
      <c r="B19" s="5" t="s">
        <v>718</v>
      </c>
      <c r="C19" s="5" t="s">
        <v>719</v>
      </c>
      <c r="D19" s="5" t="s">
        <v>2302</v>
      </c>
      <c r="E19" s="5" t="s">
        <v>2303</v>
      </c>
      <c r="F19" s="5"/>
      <c r="G19" s="5"/>
      <c r="H19" s="5"/>
      <c r="I19" s="7"/>
      <c r="J19" s="8" t="str">
        <f aca="true">IF(I19="","",TODAY()-I19)</f>
        <v/>
      </c>
      <c r="K19" s="5"/>
      <c r="L19" s="5"/>
    </row>
    <row r="20" customFormat="false" ht="23.25" hidden="false" customHeight="true" outlineLevel="0" collapsed="false">
      <c r="A20" s="5" t="s">
        <v>728</v>
      </c>
      <c r="B20" s="5" t="s">
        <v>724</v>
      </c>
      <c r="C20" s="5" t="s">
        <v>725</v>
      </c>
      <c r="D20" s="5" t="s">
        <v>2302</v>
      </c>
      <c r="E20" s="5" t="s">
        <v>2303</v>
      </c>
      <c r="F20" s="5"/>
      <c r="G20" s="5"/>
      <c r="H20" s="5"/>
      <c r="I20" s="7"/>
      <c r="J20" s="8" t="str">
        <f aca="true">IF(I20="","",TODAY()-I20)</f>
        <v/>
      </c>
      <c r="K20" s="5"/>
      <c r="L20" s="5"/>
    </row>
    <row r="21" customFormat="false" ht="15" hidden="false" customHeight="true" outlineLevel="0" collapsed="false">
      <c r="A21" s="5" t="s">
        <v>728</v>
      </c>
      <c r="B21" s="5" t="s">
        <v>748</v>
      </c>
      <c r="C21" s="5" t="s">
        <v>749</v>
      </c>
      <c r="D21" s="5" t="s">
        <v>2302</v>
      </c>
      <c r="E21" s="5" t="s">
        <v>2303</v>
      </c>
      <c r="F21" s="5"/>
      <c r="G21" s="5"/>
      <c r="H21" s="5"/>
      <c r="I21" s="7"/>
      <c r="J21" s="8" t="str">
        <f aca="true">IF(I21="","",TODAY()-I21)</f>
        <v/>
      </c>
      <c r="K21" s="5"/>
      <c r="L21" s="5"/>
    </row>
    <row r="22" customFormat="false" ht="23.25" hidden="false" customHeight="true" outlineLevel="0" collapsed="false">
      <c r="A22" s="5" t="s">
        <v>728</v>
      </c>
      <c r="B22" s="5" t="s">
        <v>758</v>
      </c>
      <c r="C22" s="5" t="s">
        <v>759</v>
      </c>
      <c r="D22" s="5" t="s">
        <v>2302</v>
      </c>
      <c r="E22" s="5" t="s">
        <v>2303</v>
      </c>
      <c r="F22" s="5"/>
      <c r="G22" s="5"/>
      <c r="H22" s="5"/>
      <c r="I22" s="7"/>
      <c r="J22" s="8" t="str">
        <f aca="true">IF(I22="","",TODAY()-I22)</f>
        <v/>
      </c>
      <c r="K22" s="5"/>
      <c r="L22" s="5"/>
    </row>
    <row r="23" customFormat="false" ht="23.25" hidden="false" customHeight="true" outlineLevel="0" collapsed="false">
      <c r="A23" s="5" t="s">
        <v>591</v>
      </c>
      <c r="B23" s="5" t="s">
        <v>771</v>
      </c>
      <c r="C23" s="5" t="s">
        <v>772</v>
      </c>
      <c r="D23" s="5" t="s">
        <v>2302</v>
      </c>
      <c r="E23" s="5" t="s">
        <v>2303</v>
      </c>
      <c r="F23" s="5"/>
      <c r="G23" s="5"/>
      <c r="H23" s="5"/>
      <c r="I23" s="7"/>
      <c r="J23" s="8" t="str">
        <f aca="true">IF(I23="","",TODAY()-I23)</f>
        <v/>
      </c>
      <c r="K23" s="5"/>
      <c r="L23" s="5"/>
    </row>
    <row r="24" customFormat="false" ht="15" hidden="false" customHeight="true" outlineLevel="0" collapsed="false">
      <c r="A24" s="5" t="s">
        <v>803</v>
      </c>
      <c r="B24" s="5" t="s">
        <v>799</v>
      </c>
      <c r="C24" s="5" t="s">
        <v>800</v>
      </c>
      <c r="D24" s="5" t="s">
        <v>2302</v>
      </c>
      <c r="E24" s="5" t="s">
        <v>2303</v>
      </c>
      <c r="F24" s="5"/>
      <c r="G24" s="5"/>
      <c r="H24" s="5"/>
      <c r="I24" s="7"/>
      <c r="J24" s="8" t="str">
        <f aca="true">IF(I24="","",TODAY()-I24)</f>
        <v/>
      </c>
      <c r="K24" s="5"/>
      <c r="L24" s="5"/>
    </row>
    <row r="25" customFormat="false" ht="23.25" hidden="false" customHeight="true" outlineLevel="0" collapsed="false">
      <c r="A25" s="5" t="s">
        <v>817</v>
      </c>
      <c r="B25" s="5" t="s">
        <v>814</v>
      </c>
      <c r="C25" s="5" t="s">
        <v>815</v>
      </c>
      <c r="D25" s="5" t="s">
        <v>2302</v>
      </c>
      <c r="E25" s="5" t="s">
        <v>2303</v>
      </c>
      <c r="F25" s="5"/>
      <c r="G25" s="5"/>
      <c r="H25" s="5"/>
      <c r="I25" s="7"/>
      <c r="J25" s="8" t="str">
        <f aca="true">IF(I25="","",TODAY()-I25)</f>
        <v/>
      </c>
      <c r="K25" s="5"/>
      <c r="L25" s="5"/>
    </row>
    <row r="26" customFormat="false" ht="23.25" hidden="false" customHeight="true" outlineLevel="0" collapsed="false">
      <c r="A26" s="5" t="s">
        <v>823</v>
      </c>
      <c r="B26" s="5" t="s">
        <v>819</v>
      </c>
      <c r="C26" s="5" t="s">
        <v>820</v>
      </c>
      <c r="D26" s="5" t="s">
        <v>2302</v>
      </c>
      <c r="E26" s="5" t="s">
        <v>2303</v>
      </c>
      <c r="F26" s="5"/>
      <c r="G26" s="5"/>
      <c r="H26" s="5"/>
      <c r="I26" s="7"/>
      <c r="J26" s="8" t="str">
        <f aca="true">IF(I26="","",TODAY()-I26)</f>
        <v/>
      </c>
      <c r="K26" s="5"/>
      <c r="L26" s="5"/>
    </row>
    <row r="27" customFormat="false" ht="15" hidden="false" customHeight="true" outlineLevel="0" collapsed="false">
      <c r="A27" s="5" t="s">
        <v>828</v>
      </c>
      <c r="B27" s="5" t="s">
        <v>825</v>
      </c>
      <c r="C27" s="5" t="s">
        <v>826</v>
      </c>
      <c r="D27" s="5" t="s">
        <v>2302</v>
      </c>
      <c r="E27" s="5" t="s">
        <v>2303</v>
      </c>
      <c r="F27" s="5"/>
      <c r="G27" s="5"/>
      <c r="H27" s="5"/>
      <c r="I27" s="7"/>
      <c r="J27" s="8" t="str">
        <f aca="true">IF(I27="","",TODAY()-I27)</f>
        <v/>
      </c>
      <c r="K27" s="5"/>
      <c r="L27" s="5"/>
    </row>
    <row r="28" customFormat="false" ht="23.25" hidden="false" customHeight="true" outlineLevel="0" collapsed="false">
      <c r="A28" s="5" t="s">
        <v>833</v>
      </c>
      <c r="B28" s="5" t="s">
        <v>830</v>
      </c>
      <c r="C28" s="5" t="s">
        <v>831</v>
      </c>
      <c r="D28" s="5" t="s">
        <v>2302</v>
      </c>
      <c r="E28" s="5" t="s">
        <v>2303</v>
      </c>
      <c r="F28" s="5"/>
      <c r="G28" s="5"/>
      <c r="H28" s="5"/>
      <c r="I28" s="7"/>
      <c r="J28" s="8" t="str">
        <f aca="true">IF(I28="","",TODAY()-I28)</f>
        <v/>
      </c>
      <c r="K28" s="5"/>
      <c r="L28" s="5"/>
    </row>
    <row r="29" customFormat="false" ht="15" hidden="false" customHeight="true" outlineLevel="0" collapsed="false">
      <c r="A29" s="5" t="s">
        <v>854</v>
      </c>
      <c r="B29" s="5" t="s">
        <v>851</v>
      </c>
      <c r="C29" s="5" t="s">
        <v>852</v>
      </c>
      <c r="D29" s="5" t="s">
        <v>2302</v>
      </c>
      <c r="E29" s="5" t="s">
        <v>2303</v>
      </c>
      <c r="F29" s="5"/>
      <c r="G29" s="5"/>
      <c r="H29" s="5"/>
      <c r="I29" s="7"/>
      <c r="J29" s="8" t="str">
        <f aca="true">IF(I29="","",TODAY()-I29)</f>
        <v/>
      </c>
      <c r="K29" s="5"/>
      <c r="L29" s="5"/>
    </row>
    <row r="30" customFormat="false" ht="15" hidden="false" customHeight="true" outlineLevel="0" collapsed="false">
      <c r="A30" s="5" t="s">
        <v>920</v>
      </c>
      <c r="B30" s="5" t="s">
        <v>917</v>
      </c>
      <c r="C30" s="5" t="s">
        <v>918</v>
      </c>
      <c r="D30" s="5" t="s">
        <v>2302</v>
      </c>
      <c r="E30" s="5" t="s">
        <v>2303</v>
      </c>
      <c r="F30" s="5"/>
      <c r="G30" s="5"/>
      <c r="H30" s="5"/>
      <c r="I30" s="7"/>
      <c r="J30" s="8" t="str">
        <f aca="true">IF(I30="","",TODAY()-I30)</f>
        <v/>
      </c>
      <c r="K30" s="5"/>
      <c r="L30" s="5"/>
    </row>
    <row r="31" customFormat="false" ht="15" hidden="false" customHeight="true" outlineLevel="0" collapsed="false">
      <c r="A31" s="5" t="s">
        <v>955</v>
      </c>
      <c r="B31" s="5" t="s">
        <v>952</v>
      </c>
      <c r="C31" s="5" t="s">
        <v>953</v>
      </c>
      <c r="D31" s="5" t="s">
        <v>2302</v>
      </c>
      <c r="E31" s="5" t="s">
        <v>2303</v>
      </c>
      <c r="F31" s="5"/>
      <c r="G31" s="5"/>
      <c r="H31" s="5"/>
      <c r="I31" s="7"/>
      <c r="J31" s="8" t="str">
        <f aca="true">IF(I31="","",TODAY()-I31)</f>
        <v/>
      </c>
      <c r="K31" s="5"/>
      <c r="L31" s="5"/>
    </row>
    <row r="32" customFormat="false" ht="15" hidden="false" customHeight="true" outlineLevel="0" collapsed="false">
      <c r="A32" s="5" t="s">
        <v>972</v>
      </c>
      <c r="B32" s="5" t="s">
        <v>969</v>
      </c>
      <c r="C32" s="5" t="s">
        <v>970</v>
      </c>
      <c r="D32" s="5" t="s">
        <v>2302</v>
      </c>
      <c r="E32" s="5" t="s">
        <v>2303</v>
      </c>
      <c r="F32" s="5"/>
      <c r="G32" s="5"/>
      <c r="H32" s="5"/>
      <c r="I32" s="7"/>
      <c r="J32" s="8" t="str">
        <f aca="true">IF(I32="","",TODAY()-I32)</f>
        <v/>
      </c>
      <c r="K32" s="5"/>
      <c r="L32" s="5"/>
    </row>
    <row r="33" customFormat="false" ht="15" hidden="false" customHeight="true" outlineLevel="0" collapsed="false">
      <c r="A33" s="5" t="s">
        <v>1027</v>
      </c>
      <c r="B33" s="5" t="s">
        <v>1024</v>
      </c>
      <c r="C33" s="5" t="s">
        <v>1025</v>
      </c>
      <c r="D33" s="5" t="s">
        <v>2302</v>
      </c>
      <c r="E33" s="5" t="s">
        <v>2303</v>
      </c>
      <c r="F33" s="5"/>
      <c r="G33" s="5"/>
      <c r="H33" s="5"/>
      <c r="I33" s="7"/>
      <c r="J33" s="8" t="str">
        <f aca="true">IF(I33="","",TODAY()-I33)</f>
        <v/>
      </c>
      <c r="K33" s="5"/>
      <c r="L33" s="5"/>
    </row>
    <row r="34" customFormat="false" ht="15" hidden="false" customHeight="true" outlineLevel="0" collapsed="false">
      <c r="A34" s="5" t="s">
        <v>1033</v>
      </c>
      <c r="B34" s="5" t="s">
        <v>1029</v>
      </c>
      <c r="C34" s="5" t="s">
        <v>1030</v>
      </c>
      <c r="D34" s="5" t="s">
        <v>2302</v>
      </c>
      <c r="E34" s="5" t="s">
        <v>2303</v>
      </c>
      <c r="F34" s="5"/>
      <c r="G34" s="5"/>
      <c r="H34" s="5"/>
      <c r="I34" s="7"/>
      <c r="J34" s="8" t="str">
        <f aca="true">IF(I34="","",TODAY()-I34)</f>
        <v/>
      </c>
      <c r="K34" s="5"/>
      <c r="L34" s="5"/>
    </row>
    <row r="35" customFormat="false" ht="15" hidden="false" customHeight="true" outlineLevel="0" collapsed="false">
      <c r="A35" s="5" t="s">
        <v>1038</v>
      </c>
      <c r="B35" s="5" t="s">
        <v>1035</v>
      </c>
      <c r="C35" s="5" t="s">
        <v>1036</v>
      </c>
      <c r="D35" s="5" t="s">
        <v>2302</v>
      </c>
      <c r="E35" s="5" t="s">
        <v>2303</v>
      </c>
      <c r="F35" s="5"/>
      <c r="G35" s="5"/>
      <c r="H35" s="5"/>
      <c r="I35" s="7"/>
      <c r="J35" s="8" t="str">
        <f aca="true">IF(I35="","",TODAY()-I35)</f>
        <v/>
      </c>
      <c r="K35" s="5"/>
      <c r="L35" s="5"/>
    </row>
    <row r="36" customFormat="false" ht="23.25" hidden="false" customHeight="true" outlineLevel="0" collapsed="false">
      <c r="A36" s="5" t="s">
        <v>1043</v>
      </c>
      <c r="B36" s="5" t="s">
        <v>1040</v>
      </c>
      <c r="C36" s="5" t="s">
        <v>1041</v>
      </c>
      <c r="D36" s="5" t="s">
        <v>2302</v>
      </c>
      <c r="E36" s="5" t="s">
        <v>2303</v>
      </c>
      <c r="F36" s="5"/>
      <c r="G36" s="5"/>
      <c r="H36" s="5"/>
      <c r="I36" s="7"/>
      <c r="J36" s="8" t="str">
        <f aca="true">IF(I36="","",TODAY()-I36)</f>
        <v/>
      </c>
      <c r="K36" s="5"/>
      <c r="L36" s="5"/>
    </row>
    <row r="37" customFormat="false" ht="23.25" hidden="false" customHeight="true" outlineLevel="0" collapsed="false">
      <c r="A37" s="5" t="s">
        <v>854</v>
      </c>
      <c r="B37" s="5" t="s">
        <v>1045</v>
      </c>
      <c r="C37" s="5" t="s">
        <v>1046</v>
      </c>
      <c r="D37" s="5" t="s">
        <v>2302</v>
      </c>
      <c r="E37" s="5" t="s">
        <v>2303</v>
      </c>
      <c r="F37" s="5"/>
      <c r="G37" s="5"/>
      <c r="H37" s="5"/>
      <c r="I37" s="7"/>
      <c r="J37" s="8" t="str">
        <f aca="true">IF(I37="","",TODAY()-I37)</f>
        <v/>
      </c>
      <c r="K37" s="5"/>
      <c r="L37" s="5"/>
    </row>
    <row r="38" customFormat="false" ht="15" hidden="false" customHeight="true" outlineLevel="0" collapsed="false">
      <c r="A38" s="5" t="s">
        <v>1053</v>
      </c>
      <c r="B38" s="5" t="s">
        <v>1050</v>
      </c>
      <c r="C38" s="5" t="s">
        <v>1051</v>
      </c>
      <c r="D38" s="5" t="s">
        <v>2302</v>
      </c>
      <c r="E38" s="5" t="s">
        <v>2303</v>
      </c>
      <c r="F38" s="5"/>
      <c r="G38" s="5"/>
      <c r="H38" s="5"/>
      <c r="I38" s="7"/>
      <c r="J38" s="8" t="str">
        <f aca="true">IF(I38="","",TODAY()-I38)</f>
        <v/>
      </c>
      <c r="K38" s="5"/>
      <c r="L38" s="5"/>
    </row>
    <row r="39" customFormat="false" ht="23.25" hidden="false" customHeight="true" outlineLevel="0" collapsed="false">
      <c r="A39" s="5" t="s">
        <v>1062</v>
      </c>
      <c r="B39" s="5" t="s">
        <v>1059</v>
      </c>
      <c r="C39" s="5" t="s">
        <v>1060</v>
      </c>
      <c r="D39" s="5" t="s">
        <v>2302</v>
      </c>
      <c r="E39" s="5" t="s">
        <v>2303</v>
      </c>
      <c r="F39" s="5"/>
      <c r="G39" s="5"/>
      <c r="H39" s="5"/>
      <c r="I39" s="7"/>
      <c r="J39" s="8" t="str">
        <f aca="true">IF(I39="","",TODAY()-I39)</f>
        <v/>
      </c>
      <c r="K39" s="5"/>
      <c r="L39" s="5"/>
    </row>
    <row r="40" customFormat="false" ht="15" hidden="false" customHeight="true" outlineLevel="0" collapsed="false">
      <c r="A40" s="5" t="s">
        <v>1082</v>
      </c>
      <c r="B40" s="5" t="s">
        <v>1079</v>
      </c>
      <c r="C40" s="5" t="s">
        <v>1080</v>
      </c>
      <c r="D40" s="5" t="s">
        <v>2302</v>
      </c>
      <c r="E40" s="5" t="s">
        <v>2303</v>
      </c>
      <c r="F40" s="5"/>
      <c r="G40" s="5"/>
      <c r="H40" s="5"/>
      <c r="I40" s="7"/>
      <c r="J40" s="8" t="str">
        <f aca="true">IF(I40="","",TODAY()-I40)</f>
        <v/>
      </c>
      <c r="K40" s="5"/>
      <c r="L40" s="5"/>
    </row>
    <row r="41" customFormat="false" ht="15" hidden="false" customHeight="true" outlineLevel="0" collapsed="false">
      <c r="A41" s="5" t="s">
        <v>1092</v>
      </c>
      <c r="B41" s="5" t="s">
        <v>1089</v>
      </c>
      <c r="C41" s="5" t="s">
        <v>1090</v>
      </c>
      <c r="D41" s="5" t="s">
        <v>2302</v>
      </c>
      <c r="E41" s="5" t="s">
        <v>2303</v>
      </c>
      <c r="F41" s="5"/>
      <c r="G41" s="5"/>
      <c r="H41" s="5"/>
      <c r="I41" s="7"/>
      <c r="J41" s="8" t="str">
        <f aca="true">IF(I41="","",TODAY()-I41)</f>
        <v/>
      </c>
      <c r="K41" s="5"/>
      <c r="L41" s="5"/>
    </row>
    <row r="42" customFormat="false" ht="15" hidden="false" customHeight="true" outlineLevel="0" collapsed="false">
      <c r="A42" s="5" t="s">
        <v>1134</v>
      </c>
      <c r="B42" s="5" t="s">
        <v>1131</v>
      </c>
      <c r="C42" s="5" t="s">
        <v>1132</v>
      </c>
      <c r="D42" s="5" t="s">
        <v>2302</v>
      </c>
      <c r="E42" s="5" t="s">
        <v>2303</v>
      </c>
      <c r="F42" s="5"/>
      <c r="G42" s="5"/>
      <c r="H42" s="5"/>
      <c r="I42" s="7"/>
      <c r="J42" s="8" t="str">
        <f aca="true">IF(I42="","",TODAY()-I42)</f>
        <v/>
      </c>
      <c r="K42" s="5"/>
      <c r="L42" s="5"/>
    </row>
    <row r="43" customFormat="false" ht="15" hidden="false" customHeight="true" outlineLevel="0" collapsed="false">
      <c r="A43" s="5" t="s">
        <v>1188</v>
      </c>
      <c r="B43" s="5" t="s">
        <v>1185</v>
      </c>
      <c r="C43" s="5" t="s">
        <v>1186</v>
      </c>
      <c r="D43" s="5" t="s">
        <v>2302</v>
      </c>
      <c r="E43" s="5" t="s">
        <v>2303</v>
      </c>
      <c r="F43" s="5"/>
      <c r="G43" s="5"/>
      <c r="H43" s="5"/>
      <c r="I43" s="7"/>
      <c r="J43" s="8" t="str">
        <f aca="true">IF(I43="","",TODAY()-I43)</f>
        <v/>
      </c>
      <c r="K43" s="5"/>
      <c r="L43" s="5"/>
    </row>
    <row r="44" customFormat="false" ht="23.25" hidden="false" customHeight="true" outlineLevel="0" collapsed="false">
      <c r="A44" s="5" t="s">
        <v>1214</v>
      </c>
      <c r="B44" s="5" t="s">
        <v>1210</v>
      </c>
      <c r="C44" s="5" t="s">
        <v>1211</v>
      </c>
      <c r="D44" s="5" t="s">
        <v>2302</v>
      </c>
      <c r="E44" s="5" t="s">
        <v>2303</v>
      </c>
      <c r="F44" s="5"/>
      <c r="G44" s="5"/>
      <c r="H44" s="5"/>
      <c r="I44" s="7"/>
      <c r="J44" s="8" t="str">
        <f aca="true">IF(I44="","",TODAY()-I44)</f>
        <v/>
      </c>
      <c r="K44" s="5"/>
      <c r="L44" s="5"/>
    </row>
    <row r="45" customFormat="false" ht="15" hidden="false" customHeight="true" outlineLevel="0" collapsed="false">
      <c r="A45" s="5" t="s">
        <v>1223</v>
      </c>
      <c r="B45" s="5" t="s">
        <v>1220</v>
      </c>
      <c r="C45" s="5" t="s">
        <v>1221</v>
      </c>
      <c r="D45" s="5" t="s">
        <v>2302</v>
      </c>
      <c r="E45" s="5" t="s">
        <v>2303</v>
      </c>
      <c r="F45" s="5"/>
      <c r="G45" s="5"/>
      <c r="H45" s="5"/>
      <c r="I45" s="7"/>
      <c r="J45" s="8" t="str">
        <f aca="true">IF(I45="","",TODAY()-I45)</f>
        <v/>
      </c>
      <c r="K45" s="5"/>
      <c r="L45" s="5"/>
    </row>
    <row r="46" customFormat="false" ht="15" hidden="false" customHeight="true" outlineLevel="0" collapsed="false">
      <c r="A46" s="5" t="s">
        <v>1229</v>
      </c>
      <c r="B46" s="5" t="s">
        <v>1225</v>
      </c>
      <c r="C46" s="5" t="s">
        <v>1226</v>
      </c>
      <c r="D46" s="5" t="s">
        <v>2302</v>
      </c>
      <c r="E46" s="5" t="s">
        <v>2303</v>
      </c>
      <c r="F46" s="5"/>
      <c r="G46" s="5"/>
      <c r="H46" s="5"/>
      <c r="I46" s="7"/>
      <c r="J46" s="8" t="str">
        <f aca="true">IF(I46="","",TODAY()-I46)</f>
        <v/>
      </c>
      <c r="K46" s="5"/>
      <c r="L46" s="5"/>
    </row>
    <row r="47" customFormat="false" ht="15" hidden="false" customHeight="true" outlineLevel="0" collapsed="false">
      <c r="A47" s="5" t="s">
        <v>1230</v>
      </c>
      <c r="B47" s="5" t="s">
        <v>1225</v>
      </c>
      <c r="C47" s="5" t="s">
        <v>1226</v>
      </c>
      <c r="D47" s="5" t="s">
        <v>2304</v>
      </c>
      <c r="E47" s="5" t="s">
        <v>2305</v>
      </c>
      <c r="F47" s="5"/>
      <c r="G47" s="5"/>
      <c r="H47" s="5"/>
      <c r="I47" s="7"/>
      <c r="J47" s="8" t="str">
        <f aca="true">IF(I47="","",TODAY()-I47)</f>
        <v/>
      </c>
      <c r="K47" s="5"/>
      <c r="L47" s="5"/>
    </row>
    <row r="48" customFormat="false" ht="23.25" hidden="false" customHeight="true" outlineLevel="0" collapsed="false">
      <c r="A48" s="5" t="s">
        <v>1235</v>
      </c>
      <c r="B48" s="5" t="s">
        <v>1232</v>
      </c>
      <c r="C48" s="5" t="s">
        <v>1233</v>
      </c>
      <c r="D48" s="5" t="s">
        <v>2302</v>
      </c>
      <c r="E48" s="5" t="s">
        <v>2303</v>
      </c>
      <c r="F48" s="5"/>
      <c r="G48" s="5"/>
      <c r="H48" s="5"/>
      <c r="I48" s="7"/>
      <c r="J48" s="8" t="str">
        <f aca="true">IF(I48="","",TODAY()-I48)</f>
        <v/>
      </c>
      <c r="K48" s="5"/>
      <c r="L48" s="5"/>
    </row>
    <row r="49" customFormat="false" ht="23.25" hidden="false" customHeight="true" outlineLevel="0" collapsed="false">
      <c r="A49" s="5" t="s">
        <v>1240</v>
      </c>
      <c r="B49" s="5" t="s">
        <v>1237</v>
      </c>
      <c r="C49" s="5" t="s">
        <v>1238</v>
      </c>
      <c r="D49" s="5" t="s">
        <v>2302</v>
      </c>
      <c r="E49" s="5" t="s">
        <v>2303</v>
      </c>
      <c r="F49" s="5"/>
      <c r="G49" s="5"/>
      <c r="H49" s="5"/>
      <c r="I49" s="7"/>
      <c r="J49" s="8" t="str">
        <f aca="true">IF(I49="","",TODAY()-I49)</f>
        <v/>
      </c>
      <c r="K49" s="5"/>
      <c r="L49" s="5"/>
    </row>
    <row r="50" customFormat="false" ht="23.25" hidden="false" customHeight="true" outlineLevel="0" collapsed="false">
      <c r="A50" s="5" t="s">
        <v>1247</v>
      </c>
      <c r="B50" s="5" t="s">
        <v>1244</v>
      </c>
      <c r="C50" s="5" t="s">
        <v>1245</v>
      </c>
      <c r="D50" s="5" t="s">
        <v>2302</v>
      </c>
      <c r="E50" s="5" t="s">
        <v>2303</v>
      </c>
      <c r="F50" s="5"/>
      <c r="G50" s="5"/>
      <c r="H50" s="5"/>
      <c r="I50" s="7"/>
      <c r="J50" s="8" t="str">
        <f aca="true">IF(I50="","",TODAY()-I50)</f>
        <v/>
      </c>
      <c r="K50" s="5"/>
      <c r="L50" s="5"/>
    </row>
    <row r="51" customFormat="false" ht="23.25" hidden="false" customHeight="true" outlineLevel="0" collapsed="false">
      <c r="A51" s="5" t="s">
        <v>1286</v>
      </c>
      <c r="B51" s="5" t="s">
        <v>1282</v>
      </c>
      <c r="C51" s="5" t="s">
        <v>1283</v>
      </c>
      <c r="D51" s="5" t="s">
        <v>2302</v>
      </c>
      <c r="E51" s="5" t="s">
        <v>2303</v>
      </c>
      <c r="F51" s="5"/>
      <c r="G51" s="5"/>
      <c r="H51" s="5"/>
      <c r="I51" s="7"/>
      <c r="J51" s="8" t="str">
        <f aca="true">IF(I51="","",TODAY()-I51)</f>
        <v/>
      </c>
      <c r="K51" s="5"/>
      <c r="L51" s="5"/>
    </row>
    <row r="52" customFormat="false" ht="15" hidden="false" customHeight="true" outlineLevel="0" collapsed="false">
      <c r="A52" s="5" t="s">
        <v>1293</v>
      </c>
      <c r="B52" s="5" t="s">
        <v>1288</v>
      </c>
      <c r="C52" s="5" t="s">
        <v>1289</v>
      </c>
      <c r="D52" s="5" t="s">
        <v>2302</v>
      </c>
      <c r="E52" s="5" t="s">
        <v>2303</v>
      </c>
      <c r="F52" s="5"/>
      <c r="G52" s="5"/>
      <c r="H52" s="5"/>
      <c r="I52" s="7"/>
      <c r="J52" s="8" t="str">
        <f aca="true">IF(I52="","",TODAY()-I52)</f>
        <v/>
      </c>
      <c r="K52" s="5"/>
      <c r="L52" s="5"/>
    </row>
    <row r="53" customFormat="false" ht="15" hidden="false" customHeight="true" outlineLevel="0" collapsed="false">
      <c r="A53" s="5" t="s">
        <v>728</v>
      </c>
      <c r="B53" s="5" t="s">
        <v>1288</v>
      </c>
      <c r="C53" s="5" t="s">
        <v>1289</v>
      </c>
      <c r="D53" s="5" t="s">
        <v>2304</v>
      </c>
      <c r="E53" s="5" t="s">
        <v>2305</v>
      </c>
      <c r="F53" s="5"/>
      <c r="G53" s="5"/>
      <c r="H53" s="5"/>
      <c r="I53" s="7"/>
      <c r="J53" s="8" t="str">
        <f aca="true">IF(I53="","",TODAY()-I53)</f>
        <v/>
      </c>
      <c r="K53" s="5"/>
      <c r="L53" s="5"/>
    </row>
    <row r="54" customFormat="false" ht="23.25" hidden="false" customHeight="true" outlineLevel="0" collapsed="false">
      <c r="A54" s="5" t="s">
        <v>1323</v>
      </c>
      <c r="B54" s="5" t="s">
        <v>1320</v>
      </c>
      <c r="C54" s="5" t="s">
        <v>1321</v>
      </c>
      <c r="D54" s="5" t="s">
        <v>2302</v>
      </c>
      <c r="E54" s="5" t="s">
        <v>2303</v>
      </c>
      <c r="F54" s="5"/>
      <c r="G54" s="5"/>
      <c r="H54" s="5"/>
      <c r="I54" s="7"/>
      <c r="J54" s="8" t="str">
        <f aca="true">IF(I54="","",TODAY()-I54)</f>
        <v/>
      </c>
      <c r="K54" s="5"/>
      <c r="L54" s="5"/>
    </row>
    <row r="55" customFormat="false" ht="23.25" hidden="false" customHeight="true" outlineLevel="0" collapsed="false">
      <c r="A55" s="5" t="s">
        <v>728</v>
      </c>
      <c r="B55" s="5" t="s">
        <v>1320</v>
      </c>
      <c r="C55" s="5" t="s">
        <v>1321</v>
      </c>
      <c r="D55" s="5" t="s">
        <v>2304</v>
      </c>
      <c r="E55" s="5" t="s">
        <v>2305</v>
      </c>
      <c r="F55" s="5"/>
      <c r="G55" s="5"/>
      <c r="H55" s="5"/>
      <c r="I55" s="7"/>
      <c r="J55" s="8" t="str">
        <f aca="true">IF(I55="","",TODAY()-I55)</f>
        <v/>
      </c>
      <c r="K55" s="5"/>
      <c r="L55" s="5"/>
    </row>
    <row r="56" customFormat="false" ht="23.25" hidden="false" customHeight="true" outlineLevel="0" collapsed="false">
      <c r="A56" s="5" t="s">
        <v>1329</v>
      </c>
      <c r="B56" s="5" t="s">
        <v>1325</v>
      </c>
      <c r="C56" s="5" t="s">
        <v>1326</v>
      </c>
      <c r="D56" s="5" t="s">
        <v>2302</v>
      </c>
      <c r="E56" s="5" t="s">
        <v>2303</v>
      </c>
      <c r="F56" s="5"/>
      <c r="G56" s="5"/>
      <c r="H56" s="5"/>
      <c r="I56" s="7"/>
      <c r="J56" s="8" t="str">
        <f aca="true">IF(I56="","",TODAY()-I56)</f>
        <v/>
      </c>
      <c r="K56" s="5"/>
      <c r="L56" s="5"/>
    </row>
    <row r="57" customFormat="false" ht="23.25" hidden="false" customHeight="true" outlineLevel="0" collapsed="false">
      <c r="A57" s="5" t="s">
        <v>1330</v>
      </c>
      <c r="B57" s="5" t="s">
        <v>1325</v>
      </c>
      <c r="C57" s="5" t="s">
        <v>1326</v>
      </c>
      <c r="D57" s="5" t="s">
        <v>2304</v>
      </c>
      <c r="E57" s="5" t="s">
        <v>2305</v>
      </c>
      <c r="F57" s="5"/>
      <c r="G57" s="5"/>
      <c r="H57" s="5"/>
      <c r="I57" s="7"/>
      <c r="J57" s="8" t="str">
        <f aca="true">IF(I57="","",TODAY()-I57)</f>
        <v/>
      </c>
      <c r="K57" s="5"/>
      <c r="L57" s="5"/>
    </row>
    <row r="58" customFormat="false" ht="15" hidden="false" customHeight="true" outlineLevel="0" collapsed="false">
      <c r="A58" s="5" t="s">
        <v>1335</v>
      </c>
      <c r="B58" s="5" t="s">
        <v>1332</v>
      </c>
      <c r="C58" s="5" t="s">
        <v>1333</v>
      </c>
      <c r="D58" s="5" t="s">
        <v>2302</v>
      </c>
      <c r="E58" s="5" t="s">
        <v>2303</v>
      </c>
      <c r="F58" s="5"/>
      <c r="G58" s="5"/>
      <c r="H58" s="5"/>
      <c r="I58" s="7"/>
      <c r="J58" s="8" t="str">
        <f aca="true">IF(I58="","",TODAY()-I58)</f>
        <v/>
      </c>
      <c r="K58" s="5"/>
      <c r="L58" s="5"/>
    </row>
    <row r="59" customFormat="false" ht="15" hidden="false" customHeight="true" outlineLevel="0" collapsed="false">
      <c r="A59" s="5" t="s">
        <v>728</v>
      </c>
      <c r="B59" s="5" t="s">
        <v>1332</v>
      </c>
      <c r="C59" s="5" t="s">
        <v>1333</v>
      </c>
      <c r="D59" s="5" t="s">
        <v>2304</v>
      </c>
      <c r="E59" s="5" t="s">
        <v>2305</v>
      </c>
      <c r="F59" s="5"/>
      <c r="G59" s="5"/>
      <c r="H59" s="5"/>
      <c r="I59" s="7"/>
      <c r="J59" s="8" t="str">
        <f aca="true">IF(I59="","",TODAY()-I59)</f>
        <v/>
      </c>
      <c r="K59" s="5"/>
      <c r="L59" s="5"/>
    </row>
    <row r="60" customFormat="false" ht="34.5" hidden="false" customHeight="true" outlineLevel="0" collapsed="false">
      <c r="A60" s="5" t="s">
        <v>1341</v>
      </c>
      <c r="B60" s="5" t="s">
        <v>1337</v>
      </c>
      <c r="C60" s="5" t="s">
        <v>1338</v>
      </c>
      <c r="D60" s="5" t="s">
        <v>2302</v>
      </c>
      <c r="E60" s="5" t="s">
        <v>2303</v>
      </c>
      <c r="F60" s="5"/>
      <c r="G60" s="5"/>
      <c r="H60" s="5"/>
      <c r="I60" s="7"/>
      <c r="J60" s="8" t="str">
        <f aca="true">IF(I60="","",TODAY()-I60)</f>
        <v/>
      </c>
      <c r="K60" s="5"/>
      <c r="L60" s="5"/>
    </row>
    <row r="61" customFormat="false" ht="34.5" hidden="false" customHeight="true" outlineLevel="0" collapsed="false">
      <c r="A61" s="5" t="s">
        <v>1342</v>
      </c>
      <c r="B61" s="5" t="s">
        <v>1337</v>
      </c>
      <c r="C61" s="5" t="s">
        <v>1338</v>
      </c>
      <c r="D61" s="5" t="s">
        <v>2304</v>
      </c>
      <c r="E61" s="5" t="s">
        <v>2305</v>
      </c>
      <c r="F61" s="5"/>
      <c r="G61" s="5"/>
      <c r="H61" s="5"/>
      <c r="I61" s="7"/>
      <c r="J61" s="8" t="str">
        <f aca="true">IF(I61="","",TODAY()-I61)</f>
        <v/>
      </c>
      <c r="K61" s="5"/>
      <c r="L61" s="5"/>
    </row>
    <row r="62" customFormat="false" ht="15" hidden="false" customHeight="true" outlineLevel="0" collapsed="false">
      <c r="A62" s="5" t="s">
        <v>1381</v>
      </c>
      <c r="B62" s="5" t="s">
        <v>1377</v>
      </c>
      <c r="C62" s="5" t="s">
        <v>1378</v>
      </c>
      <c r="D62" s="5" t="s">
        <v>2302</v>
      </c>
      <c r="E62" s="5" t="s">
        <v>2303</v>
      </c>
      <c r="F62" s="5"/>
      <c r="G62" s="5"/>
      <c r="H62" s="5"/>
      <c r="I62" s="7"/>
      <c r="J62" s="8" t="str">
        <f aca="true">IF(I62="","",TODAY()-I62)</f>
        <v/>
      </c>
      <c r="K62" s="5"/>
      <c r="L62" s="5"/>
    </row>
    <row r="63" customFormat="false" ht="15" hidden="false" customHeight="true" outlineLevel="0" collapsed="false">
      <c r="A63" s="5" t="s">
        <v>1382</v>
      </c>
      <c r="B63" s="5" t="s">
        <v>1377</v>
      </c>
      <c r="C63" s="5" t="s">
        <v>1378</v>
      </c>
      <c r="D63" s="5" t="s">
        <v>2304</v>
      </c>
      <c r="E63" s="5" t="s">
        <v>2305</v>
      </c>
      <c r="F63" s="5"/>
      <c r="G63" s="5"/>
      <c r="H63" s="5"/>
      <c r="I63" s="7"/>
      <c r="J63" s="8" t="str">
        <f aca="true">IF(I63="","",TODAY()-I63)</f>
        <v/>
      </c>
      <c r="K63" s="5"/>
      <c r="L63" s="5"/>
    </row>
    <row r="64" customFormat="false" ht="23.25" hidden="false" customHeight="true" outlineLevel="0" collapsed="false">
      <c r="A64" s="5" t="s">
        <v>1388</v>
      </c>
      <c r="B64" s="5" t="s">
        <v>1384</v>
      </c>
      <c r="C64" s="5" t="s">
        <v>1385</v>
      </c>
      <c r="D64" s="5" t="s">
        <v>2302</v>
      </c>
      <c r="E64" s="5" t="s">
        <v>2303</v>
      </c>
      <c r="F64" s="5"/>
      <c r="G64" s="5"/>
      <c r="H64" s="5"/>
      <c r="I64" s="7"/>
      <c r="J64" s="8" t="str">
        <f aca="true">IF(I64="","",TODAY()-I64)</f>
        <v/>
      </c>
      <c r="K64" s="5"/>
      <c r="L64" s="5"/>
    </row>
    <row r="65" customFormat="false" ht="23.25" hidden="false" customHeight="true" outlineLevel="0" collapsed="false">
      <c r="A65" s="5" t="s">
        <v>1389</v>
      </c>
      <c r="B65" s="5" t="s">
        <v>1384</v>
      </c>
      <c r="C65" s="5" t="s">
        <v>1385</v>
      </c>
      <c r="D65" s="5" t="s">
        <v>2304</v>
      </c>
      <c r="E65" s="5" t="s">
        <v>2305</v>
      </c>
      <c r="F65" s="5"/>
      <c r="G65" s="5"/>
      <c r="H65" s="5"/>
      <c r="I65" s="7"/>
      <c r="J65" s="8" t="str">
        <f aca="true">IF(I65="","",TODAY()-I65)</f>
        <v/>
      </c>
      <c r="K65" s="5"/>
      <c r="L65" s="5"/>
    </row>
    <row r="66" customFormat="false" ht="15" hidden="false" customHeight="true" outlineLevel="0" collapsed="false">
      <c r="A66" s="5" t="s">
        <v>1396</v>
      </c>
      <c r="B66" s="5" t="s">
        <v>1391</v>
      </c>
      <c r="C66" s="5" t="s">
        <v>1392</v>
      </c>
      <c r="D66" s="5" t="s">
        <v>2302</v>
      </c>
      <c r="E66" s="5" t="s">
        <v>2303</v>
      </c>
      <c r="F66" s="5"/>
      <c r="G66" s="5"/>
      <c r="H66" s="5"/>
      <c r="I66" s="7"/>
      <c r="J66" s="8" t="str">
        <f aca="true">IF(I66="","",TODAY()-I66)</f>
        <v/>
      </c>
      <c r="K66" s="5"/>
      <c r="L66" s="5"/>
    </row>
    <row r="67" customFormat="false" ht="15" hidden="false" customHeight="true" outlineLevel="0" collapsed="false">
      <c r="A67" s="5" t="s">
        <v>1397</v>
      </c>
      <c r="B67" s="5" t="s">
        <v>1391</v>
      </c>
      <c r="C67" s="5" t="s">
        <v>1392</v>
      </c>
      <c r="D67" s="5" t="s">
        <v>2304</v>
      </c>
      <c r="E67" s="5" t="s">
        <v>2305</v>
      </c>
      <c r="F67" s="5"/>
      <c r="G67" s="5"/>
      <c r="H67" s="5"/>
      <c r="I67" s="7"/>
      <c r="J67" s="8" t="str">
        <f aca="true">IF(I67="","",TODAY()-I67)</f>
        <v/>
      </c>
      <c r="K67" s="5"/>
      <c r="L67" s="5"/>
    </row>
    <row r="68" customFormat="false" ht="23.25" hidden="false" customHeight="true" outlineLevel="0" collapsed="false">
      <c r="A68" s="5" t="s">
        <v>1520</v>
      </c>
      <c r="B68" s="5" t="s">
        <v>1517</v>
      </c>
      <c r="C68" s="5" t="s">
        <v>1518</v>
      </c>
      <c r="D68" s="5" t="s">
        <v>2302</v>
      </c>
      <c r="E68" s="5" t="s">
        <v>2303</v>
      </c>
      <c r="F68" s="5"/>
      <c r="G68" s="5"/>
      <c r="H68" s="5"/>
      <c r="I68" s="7"/>
      <c r="J68" s="8" t="str">
        <f aca="true">IF(I68="","",TODAY()-I68)</f>
        <v/>
      </c>
      <c r="K68" s="5"/>
      <c r="L68" s="5"/>
    </row>
    <row r="69" customFormat="false" ht="23.25" hidden="false" customHeight="true" outlineLevel="0" collapsed="false">
      <c r="A69" s="5" t="s">
        <v>1526</v>
      </c>
      <c r="B69" s="5" t="s">
        <v>1522</v>
      </c>
      <c r="C69" s="5" t="s">
        <v>1523</v>
      </c>
      <c r="D69" s="5" t="s">
        <v>2302</v>
      </c>
      <c r="E69" s="5" t="s">
        <v>2303</v>
      </c>
      <c r="F69" s="5"/>
      <c r="G69" s="5"/>
      <c r="H69" s="5"/>
      <c r="I69" s="7"/>
      <c r="J69" s="8" t="str">
        <f aca="true">IF(I69="","",TODAY()-I69)</f>
        <v/>
      </c>
      <c r="K69" s="5"/>
      <c r="L69" s="5"/>
    </row>
    <row r="70" customFormat="false" ht="23.25" hidden="false" customHeight="true" outlineLevel="0" collapsed="false">
      <c r="A70" s="5" t="s">
        <v>1527</v>
      </c>
      <c r="B70" s="5" t="s">
        <v>1522</v>
      </c>
      <c r="C70" s="5" t="s">
        <v>1523</v>
      </c>
      <c r="D70" s="5" t="s">
        <v>2304</v>
      </c>
      <c r="E70" s="5" t="s">
        <v>2305</v>
      </c>
      <c r="F70" s="5"/>
      <c r="G70" s="5"/>
      <c r="H70" s="5"/>
      <c r="I70" s="7"/>
      <c r="J70" s="8" t="str">
        <f aca="true">IF(I70="","",TODAY()-I70)</f>
        <v/>
      </c>
      <c r="K70" s="5"/>
      <c r="L70" s="5"/>
    </row>
    <row r="71" customFormat="false" ht="23.25" hidden="false" customHeight="true" outlineLevel="0" collapsed="false">
      <c r="A71" s="5" t="s">
        <v>1533</v>
      </c>
      <c r="B71" s="5" t="s">
        <v>1529</v>
      </c>
      <c r="C71" s="5" t="s">
        <v>1530</v>
      </c>
      <c r="D71" s="5" t="s">
        <v>2302</v>
      </c>
      <c r="E71" s="5" t="s">
        <v>2303</v>
      </c>
      <c r="F71" s="5"/>
      <c r="G71" s="5"/>
      <c r="H71" s="5"/>
      <c r="I71" s="7"/>
      <c r="J71" s="8" t="str">
        <f aca="true">IF(I71="","",TODAY()-I71)</f>
        <v/>
      </c>
      <c r="K71" s="5"/>
      <c r="L71" s="5"/>
    </row>
    <row r="72" customFormat="false" ht="23.25" hidden="false" customHeight="true" outlineLevel="0" collapsed="false">
      <c r="A72" s="5" t="s">
        <v>1534</v>
      </c>
      <c r="B72" s="5" t="s">
        <v>1529</v>
      </c>
      <c r="C72" s="5" t="s">
        <v>1530</v>
      </c>
      <c r="D72" s="5" t="s">
        <v>2304</v>
      </c>
      <c r="E72" s="5" t="s">
        <v>2305</v>
      </c>
      <c r="F72" s="5"/>
      <c r="G72" s="5"/>
      <c r="H72" s="5"/>
      <c r="I72" s="7"/>
      <c r="J72" s="8" t="str">
        <f aca="true">IF(I72="","",TODAY()-I72)</f>
        <v/>
      </c>
      <c r="K72" s="5"/>
      <c r="L72" s="5"/>
    </row>
    <row r="73" customFormat="false" ht="23.25" hidden="false" customHeight="true" outlineLevel="0" collapsed="false">
      <c r="A73" s="5" t="s">
        <v>1558</v>
      </c>
      <c r="B73" s="5" t="s">
        <v>1554</v>
      </c>
      <c r="C73" s="5" t="s">
        <v>1555</v>
      </c>
      <c r="D73" s="5" t="s">
        <v>2302</v>
      </c>
      <c r="E73" s="5" t="s">
        <v>2303</v>
      </c>
      <c r="F73" s="5"/>
      <c r="G73" s="5"/>
      <c r="H73" s="5"/>
      <c r="I73" s="7"/>
      <c r="J73" s="8" t="str">
        <f aca="true">IF(I73="","",TODAY()-I73)</f>
        <v/>
      </c>
      <c r="K73" s="5"/>
      <c r="L73" s="5"/>
    </row>
    <row r="74" customFormat="false" ht="23.25" hidden="false" customHeight="true" outlineLevel="0" collapsed="false">
      <c r="A74" s="5" t="s">
        <v>1559</v>
      </c>
      <c r="B74" s="5" t="s">
        <v>1554</v>
      </c>
      <c r="C74" s="5" t="s">
        <v>1555</v>
      </c>
      <c r="D74" s="5" t="s">
        <v>2304</v>
      </c>
      <c r="E74" s="5" t="s">
        <v>2305</v>
      </c>
      <c r="F74" s="5"/>
      <c r="G74" s="5"/>
      <c r="H74" s="5"/>
      <c r="I74" s="7"/>
      <c r="J74" s="8" t="str">
        <f aca="true">IF(I74="","",TODAY()-I74)</f>
        <v/>
      </c>
      <c r="K74" s="5"/>
      <c r="L74" s="5"/>
    </row>
    <row r="75" customFormat="false" ht="23.25" hidden="false" customHeight="true" outlineLevel="0" collapsed="false">
      <c r="A75" s="5" t="s">
        <v>1565</v>
      </c>
      <c r="B75" s="5" t="s">
        <v>1561</v>
      </c>
      <c r="C75" s="5" t="s">
        <v>1562</v>
      </c>
      <c r="D75" s="5" t="s">
        <v>2302</v>
      </c>
      <c r="E75" s="5" t="s">
        <v>2303</v>
      </c>
      <c r="F75" s="5"/>
      <c r="G75" s="5"/>
      <c r="H75" s="5"/>
      <c r="I75" s="7"/>
      <c r="J75" s="8" t="str">
        <f aca="true">IF(I75="","",TODAY()-I75)</f>
        <v/>
      </c>
      <c r="K75" s="5"/>
      <c r="L75" s="5"/>
    </row>
    <row r="76" customFormat="false" ht="23.25" hidden="false" customHeight="true" outlineLevel="0" collapsed="false">
      <c r="A76" s="5" t="s">
        <v>1566</v>
      </c>
      <c r="B76" s="5" t="s">
        <v>1561</v>
      </c>
      <c r="C76" s="5" t="s">
        <v>1562</v>
      </c>
      <c r="D76" s="5" t="s">
        <v>2304</v>
      </c>
      <c r="E76" s="5" t="s">
        <v>2305</v>
      </c>
      <c r="F76" s="5"/>
      <c r="G76" s="5"/>
      <c r="H76" s="5"/>
      <c r="I76" s="7"/>
      <c r="J76" s="8" t="str">
        <f aca="true">IF(I76="","",TODAY()-I76)</f>
        <v/>
      </c>
      <c r="K76" s="5"/>
      <c r="L76" s="5"/>
    </row>
    <row r="77" customFormat="false" ht="23.25" hidden="false" customHeight="true" outlineLevel="0" collapsed="false">
      <c r="A77" s="5" t="s">
        <v>1572</v>
      </c>
      <c r="B77" s="5" t="s">
        <v>1568</v>
      </c>
      <c r="C77" s="5" t="s">
        <v>1569</v>
      </c>
      <c r="D77" s="5" t="s">
        <v>2302</v>
      </c>
      <c r="E77" s="5" t="s">
        <v>2303</v>
      </c>
      <c r="F77" s="5"/>
      <c r="G77" s="5"/>
      <c r="H77" s="5"/>
      <c r="I77" s="7"/>
      <c r="J77" s="8" t="str">
        <f aca="true">IF(I77="","",TODAY()-I77)</f>
        <v/>
      </c>
      <c r="K77" s="5"/>
      <c r="L77" s="5"/>
    </row>
    <row r="78" customFormat="false" ht="23.25" hidden="false" customHeight="true" outlineLevel="0" collapsed="false">
      <c r="A78" s="5" t="s">
        <v>1573</v>
      </c>
      <c r="B78" s="5" t="s">
        <v>1568</v>
      </c>
      <c r="C78" s="5" t="s">
        <v>1569</v>
      </c>
      <c r="D78" s="5" t="s">
        <v>2304</v>
      </c>
      <c r="E78" s="5" t="s">
        <v>2305</v>
      </c>
      <c r="F78" s="5"/>
      <c r="G78" s="5"/>
      <c r="H78" s="5"/>
      <c r="I78" s="7"/>
      <c r="J78" s="8" t="str">
        <f aca="true">IF(I78="","",TODAY()-I78)</f>
        <v/>
      </c>
      <c r="K78" s="5"/>
      <c r="L78" s="5"/>
    </row>
    <row r="79" customFormat="false" ht="23.25" hidden="false" customHeight="true" outlineLevel="0" collapsed="false">
      <c r="A79" s="5" t="s">
        <v>1601</v>
      </c>
      <c r="B79" s="5" t="s">
        <v>1597</v>
      </c>
      <c r="C79" s="5" t="s">
        <v>1598</v>
      </c>
      <c r="D79" s="5" t="s">
        <v>2302</v>
      </c>
      <c r="E79" s="5" t="s">
        <v>2303</v>
      </c>
      <c r="F79" s="5"/>
      <c r="G79" s="5"/>
      <c r="H79" s="5"/>
      <c r="I79" s="7"/>
      <c r="J79" s="8" t="str">
        <f aca="true">IF(I79="","",TODAY()-I79)</f>
        <v/>
      </c>
      <c r="K79" s="5"/>
      <c r="L79" s="5"/>
    </row>
    <row r="80" customFormat="false" ht="23.25" hidden="false" customHeight="true" outlineLevel="0" collapsed="false">
      <c r="A80" s="5" t="s">
        <v>1602</v>
      </c>
      <c r="B80" s="5" t="s">
        <v>1597</v>
      </c>
      <c r="C80" s="5" t="s">
        <v>1598</v>
      </c>
      <c r="D80" s="5" t="s">
        <v>2304</v>
      </c>
      <c r="E80" s="5" t="s">
        <v>2305</v>
      </c>
      <c r="F80" s="5"/>
      <c r="G80" s="5"/>
      <c r="H80" s="5"/>
      <c r="I80" s="7"/>
      <c r="J80" s="8" t="str">
        <f aca="true">IF(I80="","",TODAY()-I80)</f>
        <v/>
      </c>
      <c r="K80" s="5"/>
      <c r="L80" s="5"/>
    </row>
    <row r="81" customFormat="false" ht="23.25" hidden="false" customHeight="true" outlineLevel="0" collapsed="false">
      <c r="A81" s="5" t="s">
        <v>1618</v>
      </c>
      <c r="B81" s="5" t="s">
        <v>1614</v>
      </c>
      <c r="C81" s="5" t="s">
        <v>1615</v>
      </c>
      <c r="D81" s="5" t="s">
        <v>2302</v>
      </c>
      <c r="E81" s="5" t="s">
        <v>2303</v>
      </c>
      <c r="F81" s="5"/>
      <c r="G81" s="5"/>
      <c r="H81" s="5"/>
      <c r="I81" s="7"/>
      <c r="J81" s="8" t="str">
        <f aca="true">IF(I81="","",TODAY()-I81)</f>
        <v/>
      </c>
      <c r="K81" s="5"/>
      <c r="L81" s="5"/>
    </row>
    <row r="82" customFormat="false" ht="23.25" hidden="false" customHeight="true" outlineLevel="0" collapsed="false">
      <c r="A82" s="5" t="s">
        <v>1619</v>
      </c>
      <c r="B82" s="5" t="s">
        <v>1614</v>
      </c>
      <c r="C82" s="5" t="s">
        <v>1615</v>
      </c>
      <c r="D82" s="5" t="s">
        <v>2304</v>
      </c>
      <c r="E82" s="5" t="s">
        <v>2305</v>
      </c>
      <c r="F82" s="5"/>
      <c r="G82" s="5"/>
      <c r="H82" s="5"/>
      <c r="I82" s="7"/>
      <c r="J82" s="8" t="str">
        <f aca="true">IF(I82="","",TODAY()-I82)</f>
        <v/>
      </c>
      <c r="K82" s="5"/>
      <c r="L82" s="5"/>
    </row>
    <row r="83" customFormat="false" ht="15" hidden="false" customHeight="true" outlineLevel="0" collapsed="false">
      <c r="A83" s="5" t="s">
        <v>1641</v>
      </c>
      <c r="B83" s="5" t="s">
        <v>1637</v>
      </c>
      <c r="C83" s="5" t="s">
        <v>1638</v>
      </c>
      <c r="D83" s="5" t="s">
        <v>2302</v>
      </c>
      <c r="E83" s="5" t="s">
        <v>2303</v>
      </c>
      <c r="F83" s="5"/>
      <c r="G83" s="5"/>
      <c r="H83" s="5"/>
      <c r="I83" s="7"/>
      <c r="J83" s="8" t="str">
        <f aca="true">IF(I83="","",TODAY()-I83)</f>
        <v/>
      </c>
      <c r="K83" s="5"/>
      <c r="L83" s="5"/>
    </row>
    <row r="84" customFormat="false" ht="15" hidden="false" customHeight="true" outlineLevel="0" collapsed="false">
      <c r="A84" s="5" t="s">
        <v>1642</v>
      </c>
      <c r="B84" s="5" t="s">
        <v>1637</v>
      </c>
      <c r="C84" s="5" t="s">
        <v>1638</v>
      </c>
      <c r="D84" s="5" t="s">
        <v>2304</v>
      </c>
      <c r="E84" s="5" t="s">
        <v>2305</v>
      </c>
      <c r="F84" s="5"/>
      <c r="G84" s="5"/>
      <c r="H84" s="5"/>
      <c r="I84" s="7"/>
      <c r="J84" s="8" t="str">
        <f aca="true">IF(I84="","",TODAY()-I84)</f>
        <v/>
      </c>
      <c r="K84" s="5"/>
      <c r="L84" s="5"/>
    </row>
    <row r="85" customFormat="false" ht="23.25" hidden="false" customHeight="true" outlineLevel="0" collapsed="false">
      <c r="A85" s="5" t="s">
        <v>1648</v>
      </c>
      <c r="B85" s="5" t="s">
        <v>1644</v>
      </c>
      <c r="C85" s="5" t="s">
        <v>1645</v>
      </c>
      <c r="D85" s="5" t="s">
        <v>2302</v>
      </c>
      <c r="E85" s="5" t="s">
        <v>2303</v>
      </c>
      <c r="F85" s="5"/>
      <c r="G85" s="5"/>
      <c r="H85" s="5"/>
      <c r="I85" s="7"/>
      <c r="J85" s="8" t="str">
        <f aca="true">IF(I85="","",TODAY()-I85)</f>
        <v/>
      </c>
      <c r="K85" s="5"/>
      <c r="L85" s="5"/>
    </row>
    <row r="86" customFormat="false" ht="23.25" hidden="false" customHeight="true" outlineLevel="0" collapsed="false">
      <c r="A86" s="5" t="s">
        <v>1649</v>
      </c>
      <c r="B86" s="5" t="s">
        <v>1644</v>
      </c>
      <c r="C86" s="5" t="s">
        <v>1645</v>
      </c>
      <c r="D86" s="5" t="s">
        <v>2304</v>
      </c>
      <c r="E86" s="5" t="s">
        <v>2305</v>
      </c>
      <c r="F86" s="5"/>
      <c r="G86" s="5"/>
      <c r="H86" s="5"/>
      <c r="I86" s="7"/>
      <c r="J86" s="8" t="str">
        <f aca="true">IF(I86="","",TODAY()-I86)</f>
        <v/>
      </c>
      <c r="K86" s="5"/>
      <c r="L86" s="5"/>
    </row>
    <row r="87" customFormat="false" ht="23.25" hidden="false" customHeight="true" outlineLevel="0" collapsed="false">
      <c r="A87" s="5" t="s">
        <v>728</v>
      </c>
      <c r="B87" s="5" t="s">
        <v>1660</v>
      </c>
      <c r="C87" s="5" t="s">
        <v>1661</v>
      </c>
      <c r="D87" s="5" t="s">
        <v>2302</v>
      </c>
      <c r="E87" s="5" t="s">
        <v>2303</v>
      </c>
      <c r="F87" s="5"/>
      <c r="G87" s="5"/>
      <c r="H87" s="5"/>
      <c r="I87" s="7"/>
      <c r="J87" s="8" t="str">
        <f aca="true">IF(I87="","",TODAY()-I87)</f>
        <v/>
      </c>
      <c r="K87" s="5"/>
      <c r="L87" s="5"/>
    </row>
    <row r="88" customFormat="false" ht="23.25" hidden="false" customHeight="true" outlineLevel="0" collapsed="false">
      <c r="A88" s="5" t="s">
        <v>1665</v>
      </c>
      <c r="B88" s="5" t="s">
        <v>1660</v>
      </c>
      <c r="C88" s="5" t="s">
        <v>1661</v>
      </c>
      <c r="D88" s="5" t="s">
        <v>2304</v>
      </c>
      <c r="E88" s="5" t="s">
        <v>2305</v>
      </c>
      <c r="F88" s="5"/>
      <c r="G88" s="5"/>
      <c r="H88" s="5"/>
      <c r="I88" s="7"/>
      <c r="J88" s="8" t="str">
        <f aca="true">IF(I88="","",TODAY()-I88)</f>
        <v/>
      </c>
      <c r="K88" s="5"/>
      <c r="L88" s="5"/>
    </row>
    <row r="89" customFormat="false" ht="15" hidden="false" customHeight="true" outlineLevel="0" collapsed="false">
      <c r="A89" s="5" t="s">
        <v>1675</v>
      </c>
      <c r="B89" s="5" t="s">
        <v>1671</v>
      </c>
      <c r="C89" s="5" t="s">
        <v>1672</v>
      </c>
      <c r="D89" s="5" t="s">
        <v>2302</v>
      </c>
      <c r="E89" s="5" t="s">
        <v>2303</v>
      </c>
      <c r="F89" s="5"/>
      <c r="G89" s="5"/>
      <c r="H89" s="5"/>
      <c r="I89" s="7"/>
      <c r="J89" s="8" t="str">
        <f aca="true">IF(I89="","",TODAY()-I89)</f>
        <v/>
      </c>
      <c r="K89" s="5"/>
      <c r="L89" s="5"/>
    </row>
    <row r="90" customFormat="false" ht="15" hidden="false" customHeight="true" outlineLevel="0" collapsed="false">
      <c r="A90" s="5" t="s">
        <v>1676</v>
      </c>
      <c r="B90" s="5" t="s">
        <v>1671</v>
      </c>
      <c r="C90" s="5" t="s">
        <v>1672</v>
      </c>
      <c r="D90" s="5" t="s">
        <v>2304</v>
      </c>
      <c r="E90" s="5" t="s">
        <v>2305</v>
      </c>
      <c r="F90" s="5"/>
      <c r="G90" s="5"/>
      <c r="H90" s="5"/>
      <c r="I90" s="7"/>
      <c r="J90" s="8" t="str">
        <f aca="true">IF(I90="","",TODAY()-I90)</f>
        <v/>
      </c>
      <c r="K90" s="5"/>
      <c r="L90" s="5"/>
    </row>
    <row r="91" customFormat="false" ht="23.25" hidden="false" customHeight="true" outlineLevel="0" collapsed="false">
      <c r="A91" s="5" t="s">
        <v>1686</v>
      </c>
      <c r="B91" s="5" t="s">
        <v>1682</v>
      </c>
      <c r="C91" s="5" t="s">
        <v>1683</v>
      </c>
      <c r="D91" s="5" t="s">
        <v>2302</v>
      </c>
      <c r="E91" s="5" t="s">
        <v>2303</v>
      </c>
      <c r="F91" s="5"/>
      <c r="G91" s="5"/>
      <c r="H91" s="5"/>
      <c r="I91" s="7"/>
      <c r="J91" s="8" t="str">
        <f aca="true">IF(I91="","",TODAY()-I91)</f>
        <v/>
      </c>
      <c r="K91" s="5"/>
      <c r="L91" s="5"/>
    </row>
    <row r="92" customFormat="false" ht="23.25" hidden="false" customHeight="true" outlineLevel="0" collapsed="false">
      <c r="A92" s="5" t="s">
        <v>1687</v>
      </c>
      <c r="B92" s="5" t="s">
        <v>1682</v>
      </c>
      <c r="C92" s="5" t="s">
        <v>1683</v>
      </c>
      <c r="D92" s="5" t="s">
        <v>2304</v>
      </c>
      <c r="E92" s="5" t="s">
        <v>2305</v>
      </c>
      <c r="F92" s="5"/>
      <c r="G92" s="5"/>
      <c r="H92" s="5"/>
      <c r="I92" s="7"/>
      <c r="J92" s="8" t="str">
        <f aca="true">IF(I92="","",TODAY()-I92)</f>
        <v/>
      </c>
      <c r="K92" s="5"/>
      <c r="L92" s="5"/>
    </row>
    <row r="93" customFormat="false" ht="23.25" hidden="false" customHeight="true" outlineLevel="0" collapsed="false">
      <c r="A93" s="5" t="s">
        <v>1707</v>
      </c>
      <c r="B93" s="5" t="s">
        <v>1703</v>
      </c>
      <c r="C93" s="5" t="s">
        <v>1704</v>
      </c>
      <c r="D93" s="5" t="s">
        <v>2302</v>
      </c>
      <c r="E93" s="5" t="s">
        <v>2303</v>
      </c>
      <c r="F93" s="5"/>
      <c r="G93" s="5"/>
      <c r="H93" s="5"/>
      <c r="I93" s="7"/>
      <c r="J93" s="8" t="str">
        <f aca="true">IF(I93="","",TODAY()-I93)</f>
        <v/>
      </c>
      <c r="K93" s="5"/>
      <c r="L93" s="5"/>
    </row>
    <row r="94" customFormat="false" ht="23.25" hidden="false" customHeight="true" outlineLevel="0" collapsed="false">
      <c r="A94" s="5" t="s">
        <v>1708</v>
      </c>
      <c r="B94" s="5" t="s">
        <v>1703</v>
      </c>
      <c r="C94" s="5" t="s">
        <v>1704</v>
      </c>
      <c r="D94" s="5" t="s">
        <v>2304</v>
      </c>
      <c r="E94" s="5" t="s">
        <v>2305</v>
      </c>
      <c r="F94" s="5"/>
      <c r="G94" s="5"/>
      <c r="H94" s="5"/>
      <c r="I94" s="7"/>
      <c r="J94" s="8" t="str">
        <f aca="true">IF(I94="","",TODAY()-I94)</f>
        <v/>
      </c>
      <c r="K94" s="5"/>
      <c r="L94" s="5"/>
    </row>
    <row r="95" customFormat="false" ht="15" hidden="false" customHeight="true" outlineLevel="0" collapsed="false">
      <c r="A95" s="5" t="s">
        <v>1714</v>
      </c>
      <c r="B95" s="5" t="s">
        <v>1710</v>
      </c>
      <c r="C95" s="5" t="s">
        <v>1711</v>
      </c>
      <c r="D95" s="5" t="s">
        <v>2302</v>
      </c>
      <c r="E95" s="5" t="s">
        <v>2303</v>
      </c>
      <c r="F95" s="5"/>
      <c r="G95" s="5"/>
      <c r="H95" s="5"/>
      <c r="I95" s="7"/>
      <c r="J95" s="8" t="str">
        <f aca="true">IF(I95="","",TODAY()-I95)</f>
        <v/>
      </c>
      <c r="K95" s="5"/>
      <c r="L95" s="5"/>
    </row>
    <row r="96" customFormat="false" ht="15" hidden="false" customHeight="true" outlineLevel="0" collapsed="false">
      <c r="A96" s="5" t="s">
        <v>1715</v>
      </c>
      <c r="B96" s="5" t="s">
        <v>1710</v>
      </c>
      <c r="C96" s="5" t="s">
        <v>1711</v>
      </c>
      <c r="D96" s="5" t="s">
        <v>2304</v>
      </c>
      <c r="E96" s="5" t="s">
        <v>2305</v>
      </c>
      <c r="F96" s="5"/>
      <c r="G96" s="5"/>
      <c r="H96" s="5"/>
      <c r="I96" s="7"/>
      <c r="J96" s="8" t="str">
        <f aca="true">IF(I96="","",TODAY()-I96)</f>
        <v/>
      </c>
      <c r="K96" s="5"/>
      <c r="L96" s="5"/>
    </row>
    <row r="97" customFormat="false" ht="23.25" hidden="false" customHeight="true" outlineLevel="0" collapsed="false">
      <c r="A97" s="5" t="s">
        <v>728</v>
      </c>
      <c r="B97" s="5" t="s">
        <v>1766</v>
      </c>
      <c r="C97" s="5" t="s">
        <v>1767</v>
      </c>
      <c r="D97" s="5" t="s">
        <v>2302</v>
      </c>
      <c r="E97" s="5" t="s">
        <v>2303</v>
      </c>
      <c r="F97" s="5"/>
      <c r="G97" s="5"/>
      <c r="H97" s="5"/>
      <c r="I97" s="7"/>
      <c r="J97" s="8" t="str">
        <f aca="true">IF(I97="","",TODAY()-I97)</f>
        <v/>
      </c>
      <c r="K97" s="5"/>
      <c r="L97" s="5"/>
    </row>
    <row r="98" customFormat="false" ht="23.25" hidden="false" customHeight="true" outlineLevel="0" collapsed="false">
      <c r="A98" s="5" t="s">
        <v>728</v>
      </c>
      <c r="B98" s="5" t="s">
        <v>1766</v>
      </c>
      <c r="C98" s="5" t="s">
        <v>1767</v>
      </c>
      <c r="D98" s="5" t="s">
        <v>2304</v>
      </c>
      <c r="E98" s="5" t="s">
        <v>2305</v>
      </c>
      <c r="F98" s="5"/>
      <c r="G98" s="5"/>
      <c r="H98" s="5"/>
      <c r="I98" s="7"/>
      <c r="J98" s="8" t="str">
        <f aca="true">IF(I98="","",TODAY()-I98)</f>
        <v/>
      </c>
      <c r="K98" s="5"/>
      <c r="L98" s="5"/>
    </row>
    <row r="99" customFormat="false" ht="15" hidden="false" customHeight="true" outlineLevel="0" collapsed="false">
      <c r="A99" s="5" t="s">
        <v>1862</v>
      </c>
      <c r="B99" s="5" t="s">
        <v>1859</v>
      </c>
      <c r="C99" s="5" t="s">
        <v>1860</v>
      </c>
      <c r="D99" s="5" t="s">
        <v>2302</v>
      </c>
      <c r="E99" s="5" t="s">
        <v>2303</v>
      </c>
      <c r="F99" s="5"/>
      <c r="G99" s="5"/>
      <c r="H99" s="5"/>
      <c r="I99" s="7"/>
      <c r="J99" s="8" t="str">
        <f aca="true">IF(I99="","",TODAY()-I99)</f>
        <v/>
      </c>
      <c r="K99" s="5"/>
      <c r="L99" s="5"/>
    </row>
    <row r="100" customFormat="false" ht="23.25" hidden="false" customHeight="true" outlineLevel="0" collapsed="false">
      <c r="A100" s="5" t="s">
        <v>1920</v>
      </c>
      <c r="B100" s="5" t="s">
        <v>1917</v>
      </c>
      <c r="C100" s="5" t="s">
        <v>1918</v>
      </c>
      <c r="D100" s="5" t="s">
        <v>2302</v>
      </c>
      <c r="E100" s="5" t="s">
        <v>2303</v>
      </c>
      <c r="F100" s="5"/>
      <c r="G100" s="5"/>
      <c r="H100" s="5"/>
      <c r="I100" s="7"/>
      <c r="J100" s="8" t="str">
        <f aca="true">IF(I100="","",TODAY()-I100)</f>
        <v/>
      </c>
      <c r="K100" s="5"/>
      <c r="L100" s="5"/>
    </row>
    <row r="101" customFormat="false" ht="23.25" hidden="false" customHeight="true" outlineLevel="0" collapsed="false">
      <c r="A101" s="5" t="s">
        <v>1930</v>
      </c>
      <c r="B101" s="5" t="s">
        <v>1926</v>
      </c>
      <c r="C101" s="5" t="s">
        <v>1927</v>
      </c>
      <c r="D101" s="5" t="s">
        <v>2302</v>
      </c>
      <c r="E101" s="5" t="s">
        <v>2303</v>
      </c>
      <c r="F101" s="5"/>
      <c r="G101" s="5"/>
      <c r="H101" s="5"/>
      <c r="I101" s="7"/>
      <c r="J101" s="8" t="str">
        <f aca="true">IF(I101="","",TODAY()-I101)</f>
        <v/>
      </c>
      <c r="K101" s="5"/>
      <c r="L101" s="5"/>
    </row>
    <row r="102" customFormat="false" ht="23.25" hidden="false" customHeight="true" outlineLevel="0" collapsed="false">
      <c r="A102" s="5" t="s">
        <v>1931</v>
      </c>
      <c r="B102" s="5" t="s">
        <v>1926</v>
      </c>
      <c r="C102" s="5" t="s">
        <v>1927</v>
      </c>
      <c r="D102" s="5" t="s">
        <v>2304</v>
      </c>
      <c r="E102" s="5" t="s">
        <v>2305</v>
      </c>
      <c r="F102" s="5"/>
      <c r="G102" s="5"/>
      <c r="H102" s="5"/>
      <c r="I102" s="7"/>
      <c r="J102" s="8" t="str">
        <f aca="true">IF(I102="","",TODAY()-I102)</f>
        <v/>
      </c>
      <c r="K102" s="5"/>
      <c r="L102" s="5"/>
    </row>
    <row r="103" customFormat="false" ht="15" hidden="false" customHeight="true" outlineLevel="0" collapsed="false">
      <c r="A103" s="5" t="s">
        <v>2040</v>
      </c>
      <c r="B103" s="5" t="s">
        <v>2037</v>
      </c>
      <c r="C103" s="5" t="s">
        <v>2038</v>
      </c>
      <c r="D103" s="5" t="s">
        <v>2302</v>
      </c>
      <c r="E103" s="5" t="s">
        <v>2303</v>
      </c>
      <c r="F103" s="5"/>
      <c r="G103" s="5"/>
      <c r="H103" s="5"/>
      <c r="I103" s="7"/>
      <c r="J103" s="8" t="str">
        <f aca="true">IF(I103="","",TODAY()-I103)</f>
        <v/>
      </c>
      <c r="K103" s="5"/>
      <c r="L103" s="5"/>
    </row>
    <row r="104" customFormat="false" ht="15" hidden="false" customHeight="true" outlineLevel="0" collapsed="false">
      <c r="A104" s="5" t="s">
        <v>2041</v>
      </c>
      <c r="B104" s="5" t="s">
        <v>2037</v>
      </c>
      <c r="C104" s="5" t="s">
        <v>2038</v>
      </c>
      <c r="D104" s="5" t="s">
        <v>2304</v>
      </c>
      <c r="E104" s="5" t="s">
        <v>2305</v>
      </c>
      <c r="F104" s="5"/>
      <c r="G104" s="5"/>
      <c r="H104" s="5"/>
      <c r="I104" s="7"/>
      <c r="J104" s="8" t="str">
        <f aca="true">IF(I104="","",TODAY()-I104)</f>
        <v/>
      </c>
      <c r="K104" s="5"/>
      <c r="L104" s="5"/>
    </row>
    <row r="105" customFormat="false" ht="23.25" hidden="false" customHeight="true" outlineLevel="0" collapsed="false">
      <c r="A105" s="5" t="s">
        <v>2045</v>
      </c>
      <c r="B105" s="5" t="s">
        <v>2042</v>
      </c>
      <c r="C105" s="5" t="s">
        <v>2043</v>
      </c>
      <c r="D105" s="5" t="s">
        <v>2302</v>
      </c>
      <c r="E105" s="5" t="s">
        <v>2303</v>
      </c>
      <c r="F105" s="5"/>
      <c r="G105" s="5"/>
      <c r="H105" s="5"/>
      <c r="I105" s="7"/>
      <c r="J105" s="8" t="str">
        <f aca="true">IF(I105="","",TODAY()-I105)</f>
        <v/>
      </c>
      <c r="K105" s="5"/>
      <c r="L105" s="5"/>
    </row>
    <row r="106" customFormat="false" ht="23.25" hidden="false" customHeight="true" outlineLevel="0" collapsed="false">
      <c r="A106" s="5" t="s">
        <v>2142</v>
      </c>
      <c r="B106" s="5" t="s">
        <v>2139</v>
      </c>
      <c r="C106" s="5" t="s">
        <v>2140</v>
      </c>
      <c r="D106" s="5" t="s">
        <v>2302</v>
      </c>
      <c r="E106" s="5" t="s">
        <v>2303</v>
      </c>
      <c r="F106" s="5"/>
      <c r="G106" s="5"/>
      <c r="H106" s="5"/>
      <c r="I106" s="7"/>
      <c r="J106" s="8" t="str">
        <f aca="true">IF(I106="","",TODAY()-I106)</f>
        <v/>
      </c>
      <c r="K106" s="5"/>
      <c r="L106" s="5"/>
    </row>
    <row r="107" customFormat="false" ht="23.25" hidden="false" customHeight="true" outlineLevel="0" collapsed="false">
      <c r="A107" s="5" t="s">
        <v>2179</v>
      </c>
      <c r="B107" s="5" t="s">
        <v>2176</v>
      </c>
      <c r="C107" s="5" t="s">
        <v>2177</v>
      </c>
      <c r="D107" s="5" t="s">
        <v>2302</v>
      </c>
      <c r="E107" s="5" t="s">
        <v>2303</v>
      </c>
      <c r="F107" s="5"/>
      <c r="G107" s="5"/>
      <c r="H107" s="5"/>
      <c r="I107" s="7"/>
      <c r="J107" s="8" t="str">
        <f aca="true">IF(I107="","",TODAY()-I107)</f>
        <v/>
      </c>
      <c r="K107" s="5"/>
      <c r="L107" s="5"/>
    </row>
    <row r="108" customFormat="false" ht="15" hidden="false" customHeight="true" outlineLevel="0" collapsed="false">
      <c r="A108" s="5" t="s">
        <v>2200</v>
      </c>
      <c r="B108" s="5" t="s">
        <v>2196</v>
      </c>
      <c r="C108" s="5" t="s">
        <v>2197</v>
      </c>
      <c r="D108" s="5" t="s">
        <v>2302</v>
      </c>
      <c r="E108" s="5" t="s">
        <v>2303</v>
      </c>
      <c r="F108" s="5"/>
      <c r="G108" s="5"/>
      <c r="H108" s="5"/>
      <c r="I108" s="7"/>
      <c r="J108" s="8" t="str">
        <f aca="true">IF(I108="","",TODAY()-I108)</f>
        <v/>
      </c>
      <c r="K108" s="5"/>
      <c r="L108" s="5"/>
    </row>
    <row r="109" customFormat="false" ht="15" hidden="false" customHeight="true" outlineLevel="0" collapsed="false">
      <c r="A109" s="5" t="s">
        <v>728</v>
      </c>
      <c r="B109" s="5" t="s">
        <v>2196</v>
      </c>
      <c r="C109" s="5" t="s">
        <v>2197</v>
      </c>
      <c r="D109" s="5" t="s">
        <v>2304</v>
      </c>
      <c r="E109" s="5" t="s">
        <v>2305</v>
      </c>
      <c r="F109" s="5"/>
      <c r="G109" s="5"/>
      <c r="H109" s="5"/>
      <c r="I109" s="7"/>
      <c r="J109" s="8" t="str">
        <f aca="true">IF(I109="","",TODAY()-I109)</f>
        <v/>
      </c>
      <c r="K109" s="5"/>
      <c r="L109" s="5"/>
    </row>
    <row r="110" customFormat="false" ht="23.25" hidden="false" customHeight="true" outlineLevel="0" collapsed="false">
      <c r="A110" s="5" t="s">
        <v>2241</v>
      </c>
      <c r="B110" s="5" t="s">
        <v>2238</v>
      </c>
      <c r="C110" s="5" t="s">
        <v>2239</v>
      </c>
      <c r="D110" s="5" t="s">
        <v>2302</v>
      </c>
      <c r="E110" s="5" t="s">
        <v>2303</v>
      </c>
      <c r="F110" s="5"/>
      <c r="G110" s="5"/>
      <c r="H110" s="5"/>
      <c r="I110" s="7"/>
      <c r="J110" s="8" t="str">
        <f aca="true">IF(I110="","",TODAY()-I110)</f>
        <v/>
      </c>
      <c r="K110" s="5"/>
      <c r="L110" s="5"/>
    </row>
    <row r="111" customFormat="false" ht="23.25" hidden="false" customHeight="true" outlineLevel="0" collapsed="false">
      <c r="A111" s="5" t="s">
        <v>2266</v>
      </c>
      <c r="B111" s="5" t="s">
        <v>2263</v>
      </c>
      <c r="C111" s="5" t="s">
        <v>2264</v>
      </c>
      <c r="D111" s="5" t="s">
        <v>2302</v>
      </c>
      <c r="E111" s="5" t="s">
        <v>2303</v>
      </c>
      <c r="F111" s="5"/>
      <c r="G111" s="5"/>
      <c r="H111" s="5"/>
      <c r="I111" s="7"/>
      <c r="J111" s="8" t="str">
        <f aca="true">IF(I111="","",TODAY()-I111)</f>
        <v/>
      </c>
      <c r="K111" s="5"/>
      <c r="L111" s="5"/>
    </row>
    <row r="112" customFormat="false" ht="15" hidden="false" customHeight="true" outlineLevel="0" collapsed="false">
      <c r="A112" s="5"/>
      <c r="B112" s="5"/>
      <c r="C112" s="5"/>
      <c r="D112" s="5"/>
      <c r="E112" s="5"/>
      <c r="F112" s="5"/>
      <c r="G112" s="5"/>
      <c r="H112" s="5"/>
      <c r="I112" s="7"/>
      <c r="J112" s="8" t="str">
        <f aca="true">IF(I112="","",TODAY()-I112)</f>
        <v/>
      </c>
      <c r="K112" s="5"/>
      <c r="L112" s="5"/>
    </row>
    <row r="113" customFormat="false" ht="15" hidden="false" customHeight="true" outlineLevel="0" collapsed="false">
      <c r="A113" s="5"/>
      <c r="B113" s="5"/>
      <c r="C113" s="5"/>
      <c r="D113" s="5"/>
      <c r="E113" s="5"/>
      <c r="F113" s="5"/>
      <c r="G113" s="5"/>
      <c r="H113" s="5"/>
      <c r="I113" s="7"/>
      <c r="J113" s="8" t="str">
        <f aca="true">IF(I113="","",TODAY()-I113)</f>
        <v/>
      </c>
      <c r="K113" s="5"/>
      <c r="L113" s="5"/>
    </row>
    <row r="114" customFormat="false" ht="15" hidden="false" customHeight="true" outlineLevel="0" collapsed="false">
      <c r="A114" s="5"/>
      <c r="B114" s="5"/>
      <c r="C114" s="5"/>
      <c r="D114" s="5"/>
      <c r="E114" s="5"/>
      <c r="F114" s="5"/>
      <c r="G114" s="5"/>
      <c r="H114" s="5"/>
      <c r="I114" s="7"/>
      <c r="J114" s="8" t="str">
        <f aca="true">IF(I114="","",TODAY()-I114)</f>
        <v/>
      </c>
      <c r="K114" s="5"/>
      <c r="L114" s="5"/>
    </row>
    <row r="115" customFormat="false" ht="15" hidden="false" customHeight="true" outlineLevel="0" collapsed="false">
      <c r="A115" s="5"/>
      <c r="B115" s="5"/>
      <c r="C115" s="5"/>
      <c r="D115" s="5"/>
      <c r="E115" s="5"/>
      <c r="F115" s="5"/>
      <c r="G115" s="5"/>
      <c r="H115" s="5"/>
      <c r="I115" s="7"/>
      <c r="J115" s="8" t="str">
        <f aca="true">IF(I115="","",TODAY()-I115)</f>
        <v/>
      </c>
      <c r="K115" s="5"/>
      <c r="L115" s="5"/>
    </row>
    <row r="116" customFormat="false" ht="15" hidden="false" customHeight="true" outlineLevel="0" collapsed="false">
      <c r="A116" s="5"/>
      <c r="B116" s="5"/>
      <c r="C116" s="5"/>
      <c r="D116" s="5"/>
      <c r="E116" s="5"/>
      <c r="F116" s="5"/>
      <c r="G116" s="5"/>
      <c r="H116" s="5"/>
      <c r="I116" s="7"/>
      <c r="J116" s="8" t="str">
        <f aca="true">IF(I116="","",TODAY()-I116)</f>
        <v/>
      </c>
      <c r="K116" s="5"/>
      <c r="L116" s="5"/>
    </row>
    <row r="117" customFormat="false" ht="15" hidden="false" customHeight="true" outlineLevel="0" collapsed="false">
      <c r="A117" s="5"/>
      <c r="B117" s="5"/>
      <c r="C117" s="5"/>
      <c r="D117" s="5"/>
      <c r="E117" s="5"/>
      <c r="F117" s="5"/>
      <c r="G117" s="5"/>
      <c r="H117" s="5"/>
      <c r="I117" s="7"/>
      <c r="J117" s="8" t="str">
        <f aca="true">IF(I117="","",TODAY()-I117)</f>
        <v/>
      </c>
      <c r="K117" s="5"/>
      <c r="L117" s="5"/>
    </row>
    <row r="118" customFormat="false" ht="15" hidden="false" customHeight="true" outlineLevel="0" collapsed="false">
      <c r="A118" s="5"/>
      <c r="B118" s="5"/>
      <c r="C118" s="5"/>
      <c r="D118" s="5"/>
      <c r="E118" s="5"/>
      <c r="F118" s="5"/>
      <c r="G118" s="5"/>
      <c r="H118" s="5"/>
      <c r="I118" s="7"/>
      <c r="J118" s="8" t="str">
        <f aca="true">IF(I118="","",TODAY()-I118)</f>
        <v/>
      </c>
      <c r="K118" s="5"/>
      <c r="L118" s="5"/>
    </row>
    <row r="119" customFormat="false" ht="15" hidden="false" customHeight="true" outlineLevel="0" collapsed="false">
      <c r="A119" s="5"/>
      <c r="B119" s="5"/>
      <c r="C119" s="5"/>
      <c r="D119" s="5"/>
      <c r="E119" s="5"/>
      <c r="F119" s="5"/>
      <c r="G119" s="5"/>
      <c r="H119" s="5"/>
      <c r="I119" s="7"/>
      <c r="J119" s="8" t="str">
        <f aca="true">IF(I119="","",TODAY()-I119)</f>
        <v/>
      </c>
      <c r="K119" s="5"/>
      <c r="L119" s="5"/>
    </row>
    <row r="120" customFormat="false" ht="15" hidden="false" customHeight="true" outlineLevel="0" collapsed="false">
      <c r="A120" s="5"/>
      <c r="B120" s="5"/>
      <c r="C120" s="5"/>
      <c r="D120" s="5"/>
      <c r="E120" s="5"/>
      <c r="F120" s="5"/>
      <c r="G120" s="5"/>
      <c r="H120" s="5"/>
      <c r="I120" s="7"/>
      <c r="J120" s="8" t="str">
        <f aca="true">IF(I120="","",TODAY()-I120)</f>
        <v/>
      </c>
      <c r="K120" s="5"/>
      <c r="L120" s="5"/>
    </row>
    <row r="121" customFormat="false" ht="15" hidden="false" customHeight="true" outlineLevel="0" collapsed="false">
      <c r="A121" s="5"/>
      <c r="B121" s="5"/>
      <c r="C121" s="5"/>
      <c r="D121" s="5"/>
      <c r="E121" s="5"/>
      <c r="F121" s="5"/>
      <c r="G121" s="5"/>
      <c r="H121" s="5"/>
      <c r="I121" s="7"/>
      <c r="J121" s="8" t="str">
        <f aca="true">IF(I121="","",TODAY()-I121)</f>
        <v/>
      </c>
      <c r="K121" s="5"/>
      <c r="L121" s="5"/>
    </row>
    <row r="122" customFormat="false" ht="15" hidden="false" customHeight="true" outlineLevel="0" collapsed="false">
      <c r="A122" s="5"/>
      <c r="B122" s="5"/>
      <c r="C122" s="5"/>
      <c r="D122" s="5"/>
      <c r="E122" s="5"/>
      <c r="F122" s="5"/>
      <c r="G122" s="5"/>
      <c r="H122" s="5"/>
      <c r="I122" s="7"/>
      <c r="J122" s="8" t="str">
        <f aca="true">IF(I122="","",TODAY()-I122)</f>
        <v/>
      </c>
      <c r="K122" s="5"/>
      <c r="L122" s="5"/>
    </row>
    <row r="123" customFormat="false" ht="15" hidden="false" customHeight="true" outlineLevel="0" collapsed="false">
      <c r="A123" s="5"/>
      <c r="B123" s="5"/>
      <c r="C123" s="5"/>
      <c r="D123" s="5"/>
      <c r="E123" s="5"/>
      <c r="F123" s="5"/>
      <c r="G123" s="5"/>
      <c r="H123" s="5"/>
      <c r="I123" s="7"/>
      <c r="J123" s="8" t="str">
        <f aca="true">IF(I123="","",TODAY()-I123)</f>
        <v/>
      </c>
      <c r="K123" s="5"/>
      <c r="L123" s="5"/>
    </row>
    <row r="124" customFormat="false" ht="15" hidden="false" customHeight="true" outlineLevel="0" collapsed="false">
      <c r="A124" s="5"/>
      <c r="B124" s="5"/>
      <c r="C124" s="5"/>
      <c r="D124" s="5"/>
      <c r="E124" s="5"/>
      <c r="F124" s="5"/>
      <c r="G124" s="5"/>
      <c r="H124" s="5"/>
      <c r="I124" s="7"/>
      <c r="J124" s="8" t="str">
        <f aca="true">IF(I124="","",TODAY()-I124)</f>
        <v/>
      </c>
      <c r="K124" s="5"/>
      <c r="L124" s="5"/>
    </row>
    <row r="125" customFormat="false" ht="15" hidden="false" customHeight="true" outlineLevel="0" collapsed="false">
      <c r="A125" s="5"/>
      <c r="B125" s="5"/>
      <c r="C125" s="5"/>
      <c r="D125" s="5"/>
      <c r="E125" s="5"/>
      <c r="F125" s="5"/>
      <c r="G125" s="5"/>
      <c r="H125" s="5"/>
      <c r="I125" s="7"/>
      <c r="J125" s="8" t="str">
        <f aca="true">IF(I125="","",TODAY()-I125)</f>
        <v/>
      </c>
      <c r="K125" s="5"/>
      <c r="L125" s="5"/>
    </row>
    <row r="126" customFormat="false" ht="15" hidden="false" customHeight="true" outlineLevel="0" collapsed="false">
      <c r="A126" s="5"/>
      <c r="B126" s="5"/>
      <c r="C126" s="5"/>
      <c r="D126" s="5"/>
      <c r="E126" s="5"/>
      <c r="F126" s="5"/>
      <c r="G126" s="5"/>
      <c r="H126" s="5"/>
      <c r="I126" s="7"/>
      <c r="J126" s="8" t="str">
        <f aca="true">IF(I126="","",TODAY()-I126)</f>
        <v/>
      </c>
      <c r="K126" s="5"/>
      <c r="L126" s="5"/>
    </row>
    <row r="127" customFormat="false" ht="15" hidden="false" customHeight="true" outlineLevel="0" collapsed="false">
      <c r="A127" s="5"/>
      <c r="B127" s="5"/>
      <c r="C127" s="5"/>
      <c r="D127" s="5"/>
      <c r="E127" s="5"/>
      <c r="F127" s="5"/>
      <c r="G127" s="5"/>
      <c r="H127" s="5"/>
      <c r="I127" s="7"/>
      <c r="J127" s="8" t="str">
        <f aca="true">IF(I127="","",TODAY()-I127)</f>
        <v/>
      </c>
      <c r="K127" s="5"/>
      <c r="L127" s="5"/>
    </row>
    <row r="128" customFormat="false" ht="15" hidden="false" customHeight="true" outlineLevel="0" collapsed="false">
      <c r="A128" s="5"/>
      <c r="B128" s="5"/>
      <c r="C128" s="5"/>
      <c r="D128" s="5"/>
      <c r="E128" s="5"/>
      <c r="F128" s="5"/>
      <c r="G128" s="5"/>
      <c r="H128" s="5"/>
      <c r="I128" s="7"/>
      <c r="J128" s="8" t="str">
        <f aca="true">IF(I128="","",TODAY()-I128)</f>
        <v/>
      </c>
      <c r="K128" s="5"/>
      <c r="L128" s="5"/>
    </row>
    <row r="129" customFormat="false" ht="15" hidden="false" customHeight="true" outlineLevel="0" collapsed="false">
      <c r="A129" s="5"/>
      <c r="B129" s="5"/>
      <c r="C129" s="5"/>
      <c r="D129" s="5"/>
      <c r="E129" s="5"/>
      <c r="F129" s="5"/>
      <c r="G129" s="5"/>
      <c r="H129" s="5"/>
      <c r="I129" s="7"/>
      <c r="J129" s="8" t="str">
        <f aca="true">IF(I129="","",TODAY()-I129)</f>
        <v/>
      </c>
      <c r="K129" s="5"/>
      <c r="L129" s="5"/>
    </row>
    <row r="130" customFormat="false" ht="15" hidden="false" customHeight="true" outlineLevel="0" collapsed="false">
      <c r="A130" s="5"/>
      <c r="B130" s="5"/>
      <c r="C130" s="5"/>
      <c r="D130" s="5"/>
      <c r="E130" s="5"/>
      <c r="F130" s="5"/>
      <c r="G130" s="5"/>
      <c r="H130" s="5"/>
      <c r="I130" s="7"/>
      <c r="J130" s="8" t="str">
        <f aca="true">IF(I130="","",TODAY()-I130)</f>
        <v/>
      </c>
      <c r="K130" s="5"/>
      <c r="L130" s="5"/>
    </row>
    <row r="131" customFormat="false" ht="15" hidden="false" customHeight="true" outlineLevel="0" collapsed="false">
      <c r="A131" s="5"/>
      <c r="B131" s="5"/>
      <c r="C131" s="5"/>
      <c r="D131" s="5"/>
      <c r="E131" s="5"/>
      <c r="F131" s="5"/>
      <c r="G131" s="5"/>
      <c r="H131" s="5"/>
      <c r="I131" s="7"/>
      <c r="J131" s="8" t="str">
        <f aca="true">IF(I131="","",TODAY()-I131)</f>
        <v/>
      </c>
      <c r="K131" s="5"/>
      <c r="L131" s="5"/>
    </row>
    <row r="132" customFormat="false" ht="15" hidden="false" customHeight="true" outlineLevel="0" collapsed="false">
      <c r="A132" s="5"/>
      <c r="B132" s="5"/>
      <c r="C132" s="5"/>
      <c r="D132" s="5"/>
      <c r="E132" s="5"/>
      <c r="F132" s="5"/>
      <c r="G132" s="5"/>
      <c r="H132" s="5"/>
      <c r="I132" s="7"/>
      <c r="J132" s="8" t="str">
        <f aca="true">IF(I132="","",TODAY()-I132)</f>
        <v/>
      </c>
      <c r="K132" s="5"/>
      <c r="L132" s="5"/>
    </row>
    <row r="133" customFormat="false" ht="15" hidden="false" customHeight="true" outlineLevel="0" collapsed="false">
      <c r="A133" s="5"/>
      <c r="B133" s="5"/>
      <c r="C133" s="5"/>
      <c r="D133" s="5"/>
      <c r="E133" s="5"/>
      <c r="F133" s="5"/>
      <c r="G133" s="5"/>
      <c r="H133" s="5"/>
      <c r="I133" s="7"/>
      <c r="J133" s="8" t="str">
        <f aca="true">IF(I133="","",TODAY()-I133)</f>
        <v/>
      </c>
      <c r="K133" s="5"/>
      <c r="L133" s="5"/>
    </row>
    <row r="134" customFormat="false" ht="15" hidden="false" customHeight="true" outlineLevel="0" collapsed="false">
      <c r="A134" s="5"/>
      <c r="B134" s="5"/>
      <c r="C134" s="5"/>
      <c r="D134" s="5"/>
      <c r="E134" s="5"/>
      <c r="F134" s="5"/>
      <c r="G134" s="5"/>
      <c r="H134" s="5"/>
      <c r="I134" s="7"/>
      <c r="J134" s="8" t="str">
        <f aca="true">IF(I134="","",TODAY()-I134)</f>
        <v/>
      </c>
      <c r="K134" s="5"/>
      <c r="L134" s="5"/>
    </row>
    <row r="135" customFormat="false" ht="15" hidden="false" customHeight="true" outlineLevel="0" collapsed="false">
      <c r="A135" s="5"/>
      <c r="B135" s="5"/>
      <c r="C135" s="5"/>
      <c r="D135" s="5"/>
      <c r="E135" s="5"/>
      <c r="F135" s="5"/>
      <c r="G135" s="5"/>
      <c r="H135" s="5"/>
      <c r="I135" s="7"/>
      <c r="J135" s="8" t="str">
        <f aca="true">IF(I135="","",TODAY()-I135)</f>
        <v/>
      </c>
      <c r="K135" s="5"/>
      <c r="L135" s="5"/>
    </row>
    <row r="136" customFormat="false" ht="15" hidden="false" customHeight="true" outlineLevel="0" collapsed="false">
      <c r="A136" s="5"/>
      <c r="B136" s="5"/>
      <c r="C136" s="5"/>
      <c r="D136" s="5"/>
      <c r="E136" s="5"/>
      <c r="F136" s="5"/>
      <c r="G136" s="5"/>
      <c r="H136" s="5"/>
      <c r="I136" s="7"/>
      <c r="J136" s="8" t="str">
        <f aca="true">IF(I136="","",TODAY()-I136)</f>
        <v/>
      </c>
      <c r="K136" s="5"/>
      <c r="L136" s="5"/>
    </row>
    <row r="137" customFormat="false" ht="15" hidden="false" customHeight="true" outlineLevel="0" collapsed="false">
      <c r="A137" s="5"/>
      <c r="B137" s="5"/>
      <c r="C137" s="5"/>
      <c r="D137" s="5"/>
      <c r="E137" s="5"/>
      <c r="F137" s="5"/>
      <c r="G137" s="5"/>
      <c r="H137" s="5"/>
      <c r="I137" s="7"/>
      <c r="J137" s="8" t="str">
        <f aca="true">IF(I137="","",TODAY()-I137)</f>
        <v/>
      </c>
      <c r="K137" s="5"/>
      <c r="L137" s="5"/>
    </row>
    <row r="138" customFormat="false" ht="15" hidden="false" customHeight="true" outlineLevel="0" collapsed="false">
      <c r="A138" s="5"/>
      <c r="B138" s="5"/>
      <c r="C138" s="5"/>
      <c r="D138" s="5"/>
      <c r="E138" s="5"/>
      <c r="F138" s="5"/>
      <c r="G138" s="5"/>
      <c r="H138" s="5"/>
      <c r="I138" s="7"/>
      <c r="J138" s="8" t="str">
        <f aca="true">IF(I138="","",TODAY()-I138)</f>
        <v/>
      </c>
      <c r="K138" s="5"/>
      <c r="L138" s="5"/>
    </row>
    <row r="139" customFormat="false" ht="15" hidden="false" customHeight="true" outlineLevel="0" collapsed="false">
      <c r="A139" s="5"/>
      <c r="B139" s="5"/>
      <c r="C139" s="5"/>
      <c r="D139" s="5"/>
      <c r="E139" s="5"/>
      <c r="F139" s="5"/>
      <c r="G139" s="5"/>
      <c r="H139" s="5"/>
      <c r="I139" s="7"/>
      <c r="J139" s="8" t="str">
        <f aca="true">IF(I139="","",TODAY()-I139)</f>
        <v/>
      </c>
      <c r="K139" s="5"/>
      <c r="L139" s="5"/>
    </row>
    <row r="140" customFormat="false" ht="15" hidden="false" customHeight="true" outlineLevel="0" collapsed="false">
      <c r="A140" s="5"/>
      <c r="B140" s="5"/>
      <c r="C140" s="5"/>
      <c r="D140" s="5"/>
      <c r="E140" s="5"/>
      <c r="F140" s="5"/>
      <c r="G140" s="5"/>
      <c r="H140" s="5"/>
      <c r="I140" s="7"/>
      <c r="J140" s="8" t="str">
        <f aca="true">IF(I140="","",TODAY()-I140)</f>
        <v/>
      </c>
      <c r="K140" s="5"/>
      <c r="L140" s="5"/>
    </row>
    <row r="141" customFormat="false" ht="15" hidden="false" customHeight="true" outlineLevel="0" collapsed="false">
      <c r="A141" s="5"/>
      <c r="B141" s="5"/>
      <c r="C141" s="5"/>
      <c r="D141" s="5"/>
      <c r="E141" s="5"/>
      <c r="F141" s="5"/>
      <c r="G141" s="5"/>
      <c r="H141" s="5"/>
      <c r="I141" s="7"/>
      <c r="J141" s="8" t="str">
        <f aca="true">IF(I141="","",TODAY()-I141)</f>
        <v/>
      </c>
      <c r="K141" s="5"/>
      <c r="L141" s="5"/>
    </row>
    <row r="142" customFormat="false" ht="15" hidden="false" customHeight="true" outlineLevel="0" collapsed="false">
      <c r="A142" s="5"/>
      <c r="B142" s="5"/>
      <c r="C142" s="5"/>
      <c r="D142" s="5"/>
      <c r="E142" s="5"/>
      <c r="F142" s="5"/>
      <c r="G142" s="5"/>
      <c r="H142" s="5"/>
      <c r="I142" s="7"/>
      <c r="J142" s="8" t="str">
        <f aca="true">IF(I142="","",TODAY()-I142)</f>
        <v/>
      </c>
      <c r="K142" s="5"/>
      <c r="L142" s="5"/>
    </row>
    <row r="143" customFormat="false" ht="15" hidden="false" customHeight="true" outlineLevel="0" collapsed="false">
      <c r="A143" s="5"/>
      <c r="B143" s="5"/>
      <c r="C143" s="5"/>
      <c r="D143" s="5"/>
      <c r="E143" s="5"/>
      <c r="F143" s="5"/>
      <c r="G143" s="5"/>
      <c r="H143" s="5"/>
      <c r="I143" s="7"/>
      <c r="J143" s="8" t="str">
        <f aca="true">IF(I143="","",TODAY()-I143)</f>
        <v/>
      </c>
      <c r="K143" s="5"/>
      <c r="L143" s="5"/>
    </row>
    <row r="144" customFormat="false" ht="15" hidden="false" customHeight="true" outlineLevel="0" collapsed="false">
      <c r="A144" s="5"/>
      <c r="B144" s="5"/>
      <c r="C144" s="5"/>
      <c r="D144" s="5"/>
      <c r="E144" s="5"/>
      <c r="F144" s="5"/>
      <c r="G144" s="5"/>
      <c r="H144" s="5"/>
      <c r="I144" s="7"/>
      <c r="J144" s="8" t="str">
        <f aca="true">IF(I144="","",TODAY()-I144)</f>
        <v/>
      </c>
      <c r="K144" s="5"/>
      <c r="L144" s="5"/>
    </row>
    <row r="145" customFormat="false" ht="15" hidden="false" customHeight="true" outlineLevel="0" collapsed="false">
      <c r="A145" s="5"/>
      <c r="B145" s="5"/>
      <c r="C145" s="5"/>
      <c r="D145" s="5"/>
      <c r="E145" s="5"/>
      <c r="F145" s="5"/>
      <c r="G145" s="5"/>
      <c r="H145" s="5"/>
      <c r="I145" s="7"/>
      <c r="J145" s="8" t="str">
        <f aca="true">IF(I145="","",TODAY()-I145)</f>
        <v/>
      </c>
      <c r="K145" s="5"/>
      <c r="L145" s="5"/>
    </row>
    <row r="146" customFormat="false" ht="15" hidden="false" customHeight="true" outlineLevel="0" collapsed="false">
      <c r="A146" s="5"/>
      <c r="B146" s="5"/>
      <c r="C146" s="5"/>
      <c r="D146" s="5"/>
      <c r="E146" s="5"/>
      <c r="F146" s="5"/>
      <c r="G146" s="5"/>
      <c r="H146" s="5"/>
      <c r="I146" s="7"/>
      <c r="J146" s="8" t="str">
        <f aca="true">IF(I146="","",TODAY()-I146)</f>
        <v/>
      </c>
      <c r="K146" s="5"/>
      <c r="L146" s="5"/>
    </row>
    <row r="147" customFormat="false" ht="15" hidden="false" customHeight="true" outlineLevel="0" collapsed="false">
      <c r="A147" s="5"/>
      <c r="B147" s="5"/>
      <c r="C147" s="5"/>
      <c r="D147" s="5"/>
      <c r="E147" s="5"/>
      <c r="F147" s="5"/>
      <c r="G147" s="5"/>
      <c r="H147" s="5"/>
      <c r="I147" s="7"/>
      <c r="J147" s="8" t="str">
        <f aca="true">IF(I147="","",TODAY()-I147)</f>
        <v/>
      </c>
      <c r="K147" s="5"/>
      <c r="L147" s="5"/>
    </row>
    <row r="148" customFormat="false" ht="15" hidden="false" customHeight="true" outlineLevel="0" collapsed="false">
      <c r="A148" s="5"/>
      <c r="B148" s="5"/>
      <c r="C148" s="5"/>
      <c r="D148" s="5"/>
      <c r="E148" s="5"/>
      <c r="F148" s="5"/>
      <c r="G148" s="5"/>
      <c r="H148" s="5"/>
      <c r="I148" s="7"/>
      <c r="J148" s="8" t="str">
        <f aca="true">IF(I148="","",TODAY()-I148)</f>
        <v/>
      </c>
      <c r="K148" s="5"/>
      <c r="L148" s="5"/>
    </row>
    <row r="149" customFormat="false" ht="15" hidden="false" customHeight="true" outlineLevel="0" collapsed="false">
      <c r="A149" s="5"/>
      <c r="B149" s="5"/>
      <c r="C149" s="5"/>
      <c r="D149" s="5"/>
      <c r="E149" s="5"/>
      <c r="F149" s="5"/>
      <c r="G149" s="5"/>
      <c r="H149" s="5"/>
      <c r="I149" s="7"/>
      <c r="J149" s="8" t="str">
        <f aca="true">IF(I149="","",TODAY()-I149)</f>
        <v/>
      </c>
      <c r="K149" s="5"/>
      <c r="L149" s="5"/>
    </row>
    <row r="150" customFormat="false" ht="15" hidden="false" customHeight="true" outlineLevel="0" collapsed="false">
      <c r="A150" s="5"/>
      <c r="B150" s="5"/>
      <c r="C150" s="5"/>
      <c r="D150" s="5"/>
      <c r="E150" s="5"/>
      <c r="F150" s="5"/>
      <c r="G150" s="5"/>
      <c r="H150" s="5"/>
      <c r="I150" s="7"/>
      <c r="J150" s="8" t="str">
        <f aca="true">IF(I150="","",TODAY()-I150)</f>
        <v/>
      </c>
      <c r="K150" s="5"/>
      <c r="L150" s="5"/>
    </row>
    <row r="151" customFormat="false" ht="15" hidden="false" customHeight="true" outlineLevel="0" collapsed="false">
      <c r="A151" s="5"/>
      <c r="B151" s="5"/>
      <c r="C151" s="5"/>
      <c r="D151" s="5"/>
      <c r="E151" s="5"/>
      <c r="F151" s="5"/>
      <c r="G151" s="5"/>
      <c r="H151" s="5"/>
      <c r="I151" s="7"/>
      <c r="J151" s="8" t="str">
        <f aca="true">IF(I151="","",TODAY()-I151)</f>
        <v/>
      </c>
      <c r="K151" s="5"/>
      <c r="L151" s="5"/>
    </row>
    <row r="152" customFormat="false" ht="15" hidden="false" customHeight="true" outlineLevel="0" collapsed="false">
      <c r="A152" s="5"/>
      <c r="B152" s="5"/>
      <c r="C152" s="5"/>
      <c r="D152" s="5"/>
      <c r="E152" s="5"/>
      <c r="F152" s="5"/>
      <c r="G152" s="5"/>
      <c r="H152" s="5"/>
      <c r="I152" s="7"/>
      <c r="J152" s="8" t="str">
        <f aca="true">IF(I152="","",TODAY()-I152)</f>
        <v/>
      </c>
      <c r="K152" s="5"/>
      <c r="L152" s="5"/>
    </row>
    <row r="153" customFormat="false" ht="15" hidden="false" customHeight="true" outlineLevel="0" collapsed="false">
      <c r="A153" s="5"/>
      <c r="B153" s="5"/>
      <c r="C153" s="5"/>
      <c r="D153" s="5"/>
      <c r="E153" s="5"/>
      <c r="F153" s="5"/>
      <c r="G153" s="5"/>
      <c r="H153" s="5"/>
      <c r="I153" s="7"/>
      <c r="J153" s="8" t="str">
        <f aca="true">IF(I153="","",TODAY()-I153)</f>
        <v/>
      </c>
      <c r="K153" s="5"/>
      <c r="L153" s="5"/>
    </row>
    <row r="154" customFormat="false" ht="15" hidden="false" customHeight="true" outlineLevel="0" collapsed="false">
      <c r="A154" s="5"/>
      <c r="B154" s="5"/>
      <c r="C154" s="5"/>
      <c r="D154" s="5"/>
      <c r="E154" s="5"/>
      <c r="F154" s="5"/>
      <c r="G154" s="5"/>
      <c r="H154" s="5"/>
      <c r="I154" s="7"/>
      <c r="J154" s="8" t="str">
        <f aca="true">IF(I154="","",TODAY()-I154)</f>
        <v/>
      </c>
      <c r="K154" s="5"/>
      <c r="L154" s="5"/>
    </row>
    <row r="155" customFormat="false" ht="15" hidden="false" customHeight="true" outlineLevel="0" collapsed="false">
      <c r="A155" s="5"/>
      <c r="B155" s="5"/>
      <c r="C155" s="5"/>
      <c r="D155" s="5"/>
      <c r="E155" s="5"/>
      <c r="F155" s="5"/>
      <c r="G155" s="5"/>
      <c r="H155" s="5"/>
      <c r="I155" s="7"/>
      <c r="J155" s="8" t="str">
        <f aca="true">IF(I155="","",TODAY()-I155)</f>
        <v/>
      </c>
      <c r="K155" s="5"/>
      <c r="L155" s="5"/>
    </row>
    <row r="156" customFormat="false" ht="15" hidden="false" customHeight="true" outlineLevel="0" collapsed="false">
      <c r="A156" s="5"/>
      <c r="B156" s="5"/>
      <c r="C156" s="5"/>
      <c r="D156" s="5"/>
      <c r="E156" s="5"/>
      <c r="F156" s="5"/>
      <c r="G156" s="5"/>
      <c r="H156" s="5"/>
      <c r="I156" s="7"/>
      <c r="J156" s="8" t="str">
        <f aca="true">IF(I156="","",TODAY()-I156)</f>
        <v/>
      </c>
      <c r="K156" s="5"/>
      <c r="L156" s="5"/>
    </row>
    <row r="157" customFormat="false" ht="15" hidden="false" customHeight="true" outlineLevel="0" collapsed="false">
      <c r="A157" s="5"/>
      <c r="B157" s="5"/>
      <c r="C157" s="5"/>
      <c r="D157" s="5"/>
      <c r="E157" s="5"/>
      <c r="F157" s="5"/>
      <c r="G157" s="5"/>
      <c r="H157" s="5"/>
      <c r="I157" s="7"/>
      <c r="J157" s="8" t="str">
        <f aca="true">IF(I157="","",TODAY()-I157)</f>
        <v/>
      </c>
      <c r="K157" s="5"/>
      <c r="L157" s="5"/>
    </row>
    <row r="158" customFormat="false" ht="15" hidden="false" customHeight="true" outlineLevel="0" collapsed="false">
      <c r="A158" s="5"/>
      <c r="B158" s="5"/>
      <c r="C158" s="5"/>
      <c r="D158" s="5"/>
      <c r="E158" s="5"/>
      <c r="F158" s="5"/>
      <c r="G158" s="5"/>
      <c r="H158" s="5"/>
      <c r="I158" s="7"/>
      <c r="J158" s="8" t="str">
        <f aca="true">IF(I158="","",TODAY()-I158)</f>
        <v/>
      </c>
      <c r="K158" s="5"/>
      <c r="L158" s="5"/>
    </row>
    <row r="159" customFormat="false" ht="15" hidden="false" customHeight="true" outlineLevel="0" collapsed="false">
      <c r="A159" s="5"/>
      <c r="B159" s="5"/>
      <c r="C159" s="5"/>
      <c r="D159" s="5"/>
      <c r="E159" s="5"/>
      <c r="F159" s="5"/>
      <c r="G159" s="5"/>
      <c r="H159" s="5"/>
      <c r="I159" s="7"/>
      <c r="J159" s="8" t="str">
        <f aca="true">IF(I159="","",TODAY()-I159)</f>
        <v/>
      </c>
      <c r="K159" s="5"/>
      <c r="L159" s="5"/>
    </row>
    <row r="160" customFormat="false" ht="15" hidden="false" customHeight="true" outlineLevel="0" collapsed="false">
      <c r="A160" s="5"/>
      <c r="B160" s="5"/>
      <c r="C160" s="5"/>
      <c r="D160" s="5"/>
      <c r="E160" s="5"/>
      <c r="F160" s="5"/>
      <c r="G160" s="5"/>
      <c r="H160" s="5"/>
      <c r="I160" s="7"/>
      <c r="J160" s="8" t="str">
        <f aca="true">IF(I160="","",TODAY()-I160)</f>
        <v/>
      </c>
      <c r="K160" s="5"/>
      <c r="L160" s="5"/>
    </row>
    <row r="161" customFormat="false" ht="15" hidden="false" customHeight="true" outlineLevel="0" collapsed="false">
      <c r="A161" s="5"/>
      <c r="B161" s="5"/>
      <c r="C161" s="5"/>
      <c r="D161" s="5"/>
      <c r="E161" s="5"/>
      <c r="F161" s="5"/>
      <c r="G161" s="5"/>
      <c r="H161" s="5"/>
      <c r="I161" s="7"/>
      <c r="J161" s="8" t="str">
        <f aca="true">IF(I161="","",TODAY()-I161)</f>
        <v/>
      </c>
      <c r="K161" s="5"/>
      <c r="L161" s="5"/>
    </row>
    <row r="162" customFormat="false" ht="15" hidden="false" customHeight="true" outlineLevel="0" collapsed="false">
      <c r="A162" s="5"/>
      <c r="B162" s="5"/>
      <c r="C162" s="5"/>
      <c r="D162" s="5"/>
      <c r="E162" s="5"/>
      <c r="F162" s="5"/>
      <c r="G162" s="5"/>
      <c r="H162" s="5"/>
      <c r="I162" s="7"/>
      <c r="J162" s="8" t="str">
        <f aca="true">IF(I162="","",TODAY()-I162)</f>
        <v/>
      </c>
      <c r="K162" s="5"/>
      <c r="L162" s="5"/>
    </row>
    <row r="163" customFormat="false" ht="15" hidden="false" customHeight="true" outlineLevel="0" collapsed="false">
      <c r="A163" s="5"/>
      <c r="B163" s="5"/>
      <c r="C163" s="5"/>
      <c r="D163" s="5"/>
      <c r="E163" s="5"/>
      <c r="F163" s="5"/>
      <c r="G163" s="5"/>
      <c r="H163" s="5"/>
      <c r="I163" s="7"/>
      <c r="J163" s="8" t="str">
        <f aca="true">IF(I163="","",TODAY()-I163)</f>
        <v/>
      </c>
      <c r="K163" s="5"/>
      <c r="L163" s="5"/>
    </row>
    <row r="164" customFormat="false" ht="15" hidden="false" customHeight="true" outlineLevel="0" collapsed="false">
      <c r="A164" s="5"/>
      <c r="B164" s="5"/>
      <c r="C164" s="5"/>
      <c r="D164" s="5"/>
      <c r="E164" s="5"/>
      <c r="F164" s="5"/>
      <c r="G164" s="5"/>
      <c r="H164" s="5"/>
      <c r="I164" s="7"/>
      <c r="J164" s="8" t="str">
        <f aca="true">IF(I164="","",TODAY()-I164)</f>
        <v/>
      </c>
      <c r="K164" s="5"/>
      <c r="L164" s="5"/>
    </row>
    <row r="165" customFormat="false" ht="15" hidden="false" customHeight="true" outlineLevel="0" collapsed="false">
      <c r="A165" s="5"/>
      <c r="B165" s="5"/>
      <c r="C165" s="5"/>
      <c r="D165" s="5"/>
      <c r="E165" s="5"/>
      <c r="F165" s="5"/>
      <c r="G165" s="5"/>
      <c r="H165" s="5"/>
      <c r="I165" s="7"/>
      <c r="J165" s="8" t="str">
        <f aca="true">IF(I165="","",TODAY()-I165)</f>
        <v/>
      </c>
      <c r="K165" s="5"/>
      <c r="L165" s="5"/>
    </row>
    <row r="166" customFormat="false" ht="15" hidden="false" customHeight="true" outlineLevel="0" collapsed="false">
      <c r="A166" s="5"/>
      <c r="B166" s="5"/>
      <c r="C166" s="5"/>
      <c r="D166" s="5"/>
      <c r="E166" s="5"/>
      <c r="F166" s="5"/>
      <c r="G166" s="5"/>
      <c r="H166" s="5"/>
      <c r="I166" s="7"/>
      <c r="J166" s="8" t="str">
        <f aca="true">IF(I166="","",TODAY()-I166)</f>
        <v/>
      </c>
      <c r="K166" s="5"/>
      <c r="L166" s="5"/>
    </row>
    <row r="167" customFormat="false" ht="15" hidden="false" customHeight="true" outlineLevel="0" collapsed="false">
      <c r="A167" s="5"/>
      <c r="B167" s="5"/>
      <c r="C167" s="5"/>
      <c r="D167" s="5"/>
      <c r="E167" s="5"/>
      <c r="F167" s="5"/>
      <c r="G167" s="5"/>
      <c r="H167" s="5"/>
      <c r="I167" s="7"/>
      <c r="J167" s="8" t="str">
        <f aca="true">IF(I167="","",TODAY()-I167)</f>
        <v/>
      </c>
      <c r="K167" s="5"/>
      <c r="L167" s="5"/>
    </row>
    <row r="168" customFormat="false" ht="15" hidden="false" customHeight="true" outlineLevel="0" collapsed="false">
      <c r="A168" s="5"/>
      <c r="B168" s="5"/>
      <c r="C168" s="5"/>
      <c r="D168" s="5"/>
      <c r="E168" s="5"/>
      <c r="F168" s="5"/>
      <c r="G168" s="5"/>
      <c r="H168" s="5"/>
      <c r="I168" s="7"/>
      <c r="J168" s="8" t="str">
        <f aca="true">IF(I168="","",TODAY()-I168)</f>
        <v/>
      </c>
      <c r="K168" s="5"/>
      <c r="L168" s="5"/>
    </row>
    <row r="169" customFormat="false" ht="15" hidden="false" customHeight="true" outlineLevel="0" collapsed="false">
      <c r="A169" s="5"/>
      <c r="B169" s="5"/>
      <c r="C169" s="5"/>
      <c r="D169" s="5"/>
      <c r="E169" s="5"/>
      <c r="F169" s="5"/>
      <c r="G169" s="5"/>
      <c r="H169" s="5"/>
      <c r="I169" s="7"/>
      <c r="J169" s="8" t="str">
        <f aca="true">IF(I169="","",TODAY()-I169)</f>
        <v/>
      </c>
      <c r="K169" s="5"/>
      <c r="L169" s="5"/>
    </row>
    <row r="170" customFormat="false" ht="15" hidden="false" customHeight="true" outlineLevel="0" collapsed="false">
      <c r="A170" s="5"/>
      <c r="B170" s="5"/>
      <c r="C170" s="5"/>
      <c r="D170" s="5"/>
      <c r="E170" s="5"/>
      <c r="F170" s="5"/>
      <c r="G170" s="5"/>
      <c r="H170" s="5"/>
      <c r="I170" s="7"/>
      <c r="J170" s="8" t="str">
        <f aca="true">IF(I170="","",TODAY()-I170)</f>
        <v/>
      </c>
      <c r="K170" s="5"/>
      <c r="L170" s="5"/>
    </row>
    <row r="171" customFormat="false" ht="15" hidden="false" customHeight="true" outlineLevel="0" collapsed="false">
      <c r="A171" s="5"/>
      <c r="B171" s="5"/>
      <c r="C171" s="5"/>
      <c r="D171" s="5"/>
      <c r="E171" s="5"/>
      <c r="F171" s="5"/>
      <c r="G171" s="5"/>
      <c r="H171" s="5"/>
      <c r="I171" s="7"/>
      <c r="J171" s="8" t="str">
        <f aca="true">IF(I171="","",TODAY()-I171)</f>
        <v/>
      </c>
      <c r="K171" s="5"/>
      <c r="L171" s="5"/>
    </row>
    <row r="172" customFormat="false" ht="15" hidden="false" customHeight="true" outlineLevel="0" collapsed="false">
      <c r="A172" s="5"/>
      <c r="B172" s="5"/>
      <c r="C172" s="5"/>
      <c r="D172" s="5"/>
      <c r="E172" s="5"/>
      <c r="F172" s="5"/>
      <c r="G172" s="5"/>
      <c r="H172" s="5"/>
      <c r="I172" s="7"/>
      <c r="J172" s="8" t="str">
        <f aca="true">IF(I172="","",TODAY()-I172)</f>
        <v/>
      </c>
      <c r="K172" s="5"/>
      <c r="L172" s="5"/>
    </row>
    <row r="173" customFormat="false" ht="15" hidden="false" customHeight="true" outlineLevel="0" collapsed="false">
      <c r="A173" s="5"/>
      <c r="B173" s="5"/>
      <c r="C173" s="5"/>
      <c r="D173" s="5"/>
      <c r="E173" s="5"/>
      <c r="F173" s="5"/>
      <c r="G173" s="5"/>
      <c r="H173" s="5"/>
      <c r="I173" s="7"/>
      <c r="J173" s="8" t="str">
        <f aca="true">IF(I173="","",TODAY()-I173)</f>
        <v/>
      </c>
      <c r="K173" s="5"/>
      <c r="L173" s="5"/>
    </row>
    <row r="174" customFormat="false" ht="15" hidden="false" customHeight="true" outlineLevel="0" collapsed="false">
      <c r="A174" s="5"/>
      <c r="B174" s="5"/>
      <c r="C174" s="5"/>
      <c r="D174" s="5"/>
      <c r="E174" s="5"/>
      <c r="F174" s="5"/>
      <c r="G174" s="5"/>
      <c r="H174" s="5"/>
      <c r="I174" s="7"/>
      <c r="J174" s="8" t="str">
        <f aca="true">IF(I174="","",TODAY()-I174)</f>
        <v/>
      </c>
      <c r="K174" s="5"/>
      <c r="L174" s="5"/>
    </row>
    <row r="175" customFormat="false" ht="15" hidden="false" customHeight="true" outlineLevel="0" collapsed="false">
      <c r="A175" s="5"/>
      <c r="B175" s="5"/>
      <c r="C175" s="5"/>
      <c r="D175" s="5"/>
      <c r="E175" s="5"/>
      <c r="F175" s="5"/>
      <c r="G175" s="5"/>
      <c r="H175" s="5"/>
      <c r="I175" s="7"/>
      <c r="J175" s="8" t="str">
        <f aca="true">IF(I175="","",TODAY()-I175)</f>
        <v/>
      </c>
      <c r="K175" s="5"/>
      <c r="L175" s="5"/>
    </row>
    <row r="176" customFormat="false" ht="15" hidden="false" customHeight="true" outlineLevel="0" collapsed="false">
      <c r="A176" s="5"/>
      <c r="B176" s="5"/>
      <c r="C176" s="5"/>
      <c r="D176" s="5"/>
      <c r="E176" s="5"/>
      <c r="F176" s="5"/>
      <c r="G176" s="5"/>
      <c r="H176" s="5"/>
      <c r="I176" s="7"/>
      <c r="J176" s="8" t="str">
        <f aca="true">IF(I176="","",TODAY()-I176)</f>
        <v/>
      </c>
      <c r="K176" s="5"/>
      <c r="L176" s="5"/>
    </row>
    <row r="177" customFormat="false" ht="15" hidden="false" customHeight="true" outlineLevel="0" collapsed="false">
      <c r="A177" s="5"/>
      <c r="B177" s="5"/>
      <c r="C177" s="5"/>
      <c r="D177" s="5"/>
      <c r="E177" s="5"/>
      <c r="F177" s="5"/>
      <c r="G177" s="5"/>
      <c r="H177" s="5"/>
      <c r="I177" s="7"/>
      <c r="J177" s="8" t="str">
        <f aca="true">IF(I177="","",TODAY()-I177)</f>
        <v/>
      </c>
      <c r="K177" s="5"/>
      <c r="L177" s="5"/>
    </row>
    <row r="178" customFormat="false" ht="15" hidden="false" customHeight="true" outlineLevel="0" collapsed="false">
      <c r="A178" s="5"/>
      <c r="B178" s="5"/>
      <c r="C178" s="5"/>
      <c r="D178" s="5"/>
      <c r="E178" s="5"/>
      <c r="F178" s="5"/>
      <c r="G178" s="5"/>
      <c r="H178" s="5"/>
      <c r="I178" s="7"/>
      <c r="J178" s="8" t="str">
        <f aca="true">IF(I178="","",TODAY()-I178)</f>
        <v/>
      </c>
      <c r="K178" s="5"/>
      <c r="L178" s="5"/>
    </row>
    <row r="179" customFormat="false" ht="15" hidden="false" customHeight="true" outlineLevel="0" collapsed="false">
      <c r="A179" s="5"/>
      <c r="B179" s="5"/>
      <c r="C179" s="5"/>
      <c r="D179" s="5"/>
      <c r="E179" s="5"/>
      <c r="F179" s="5"/>
      <c r="G179" s="5"/>
      <c r="H179" s="5"/>
      <c r="I179" s="7"/>
      <c r="J179" s="8" t="str">
        <f aca="true">IF(I179="","",TODAY()-I179)</f>
        <v/>
      </c>
      <c r="K179" s="5"/>
      <c r="L179" s="5"/>
    </row>
    <row r="180" customFormat="false" ht="15" hidden="false" customHeight="true" outlineLevel="0" collapsed="false">
      <c r="A180" s="5"/>
      <c r="B180" s="5"/>
      <c r="C180" s="5"/>
      <c r="D180" s="5"/>
      <c r="E180" s="5"/>
      <c r="F180" s="5"/>
      <c r="G180" s="5"/>
      <c r="H180" s="5"/>
      <c r="I180" s="7"/>
      <c r="J180" s="8" t="str">
        <f aca="true">IF(I180="","",TODAY()-I180)</f>
        <v/>
      </c>
      <c r="K180" s="5"/>
      <c r="L180" s="5"/>
    </row>
    <row r="181" customFormat="false" ht="15" hidden="false" customHeight="true" outlineLevel="0" collapsed="false">
      <c r="A181" s="5"/>
      <c r="B181" s="5"/>
      <c r="C181" s="5"/>
      <c r="D181" s="5"/>
      <c r="E181" s="5"/>
      <c r="F181" s="5"/>
      <c r="G181" s="5"/>
      <c r="H181" s="5"/>
      <c r="I181" s="7"/>
      <c r="J181" s="8" t="str">
        <f aca="true">IF(I181="","",TODAY()-I181)</f>
        <v/>
      </c>
      <c r="K181" s="5"/>
      <c r="L181" s="5"/>
    </row>
    <row r="182" customFormat="false" ht="15" hidden="false" customHeight="true" outlineLevel="0" collapsed="false">
      <c r="A182" s="5"/>
      <c r="B182" s="5"/>
      <c r="C182" s="5"/>
      <c r="D182" s="5"/>
      <c r="E182" s="5"/>
      <c r="F182" s="5"/>
      <c r="G182" s="5"/>
      <c r="H182" s="5"/>
      <c r="I182" s="7"/>
      <c r="J182" s="8" t="str">
        <f aca="true">IF(I182="","",TODAY()-I182)</f>
        <v/>
      </c>
      <c r="K182" s="5"/>
      <c r="L182" s="5"/>
    </row>
    <row r="183" customFormat="false" ht="15" hidden="false" customHeight="true" outlineLevel="0" collapsed="false">
      <c r="A183" s="5"/>
      <c r="B183" s="5"/>
      <c r="C183" s="5"/>
      <c r="D183" s="5"/>
      <c r="E183" s="5"/>
      <c r="F183" s="5"/>
      <c r="G183" s="5"/>
      <c r="H183" s="5"/>
      <c r="I183" s="7"/>
      <c r="J183" s="8" t="str">
        <f aca="true">IF(I183="","",TODAY()-I183)</f>
        <v/>
      </c>
      <c r="K183" s="5"/>
      <c r="L183" s="5"/>
    </row>
    <row r="184" customFormat="false" ht="15" hidden="false" customHeight="true" outlineLevel="0" collapsed="false">
      <c r="A184" s="5"/>
      <c r="B184" s="5"/>
      <c r="C184" s="5"/>
      <c r="D184" s="5"/>
      <c r="E184" s="5"/>
      <c r="F184" s="5"/>
      <c r="G184" s="5"/>
      <c r="H184" s="5"/>
      <c r="I184" s="7"/>
      <c r="J184" s="8" t="str">
        <f aca="true">IF(I184="","",TODAY()-I184)</f>
        <v/>
      </c>
      <c r="K184" s="5"/>
      <c r="L184" s="5"/>
    </row>
    <row r="185" customFormat="false" ht="15" hidden="false" customHeight="true" outlineLevel="0" collapsed="false">
      <c r="A185" s="5"/>
      <c r="B185" s="5"/>
      <c r="C185" s="5"/>
      <c r="D185" s="5"/>
      <c r="E185" s="5"/>
      <c r="F185" s="5"/>
      <c r="G185" s="5"/>
      <c r="H185" s="5"/>
      <c r="I185" s="7"/>
      <c r="J185" s="8" t="str">
        <f aca="true">IF(I185="","",TODAY()-I185)</f>
        <v/>
      </c>
      <c r="K185" s="5"/>
      <c r="L185" s="5"/>
    </row>
    <row r="186" customFormat="false" ht="15" hidden="false" customHeight="true" outlineLevel="0" collapsed="false">
      <c r="A186" s="5"/>
      <c r="B186" s="5"/>
      <c r="C186" s="5"/>
      <c r="D186" s="5"/>
      <c r="E186" s="5"/>
      <c r="F186" s="5"/>
      <c r="G186" s="5"/>
      <c r="H186" s="5"/>
      <c r="I186" s="7"/>
      <c r="J186" s="8" t="str">
        <f aca="true">IF(I186="","",TODAY()-I186)</f>
        <v/>
      </c>
      <c r="K186" s="5"/>
      <c r="L186" s="5"/>
    </row>
    <row r="187" customFormat="false" ht="15" hidden="false" customHeight="true" outlineLevel="0" collapsed="false">
      <c r="A187" s="5"/>
      <c r="B187" s="5"/>
      <c r="C187" s="5"/>
      <c r="D187" s="5"/>
      <c r="E187" s="5"/>
      <c r="F187" s="5"/>
      <c r="G187" s="5"/>
      <c r="H187" s="5"/>
      <c r="I187" s="7"/>
      <c r="J187" s="8" t="str">
        <f aca="true">IF(I187="","",TODAY()-I187)</f>
        <v/>
      </c>
      <c r="K187" s="5"/>
      <c r="L187" s="5"/>
    </row>
    <row r="188" customFormat="false" ht="15" hidden="false" customHeight="true" outlineLevel="0" collapsed="false">
      <c r="A188" s="5"/>
      <c r="B188" s="5"/>
      <c r="C188" s="5"/>
      <c r="D188" s="5"/>
      <c r="E188" s="5"/>
      <c r="F188" s="5"/>
      <c r="G188" s="5"/>
      <c r="H188" s="5"/>
      <c r="I188" s="7"/>
      <c r="J188" s="8" t="str">
        <f aca="true">IF(I188="","",TODAY()-I188)</f>
        <v/>
      </c>
      <c r="K188" s="5"/>
      <c r="L188" s="5"/>
    </row>
    <row r="189" customFormat="false" ht="15" hidden="false" customHeight="true" outlineLevel="0" collapsed="false">
      <c r="A189" s="5"/>
      <c r="B189" s="5"/>
      <c r="C189" s="5"/>
      <c r="D189" s="5"/>
      <c r="E189" s="5"/>
      <c r="F189" s="5"/>
      <c r="G189" s="5"/>
      <c r="H189" s="5"/>
      <c r="I189" s="7"/>
      <c r="J189" s="8" t="str">
        <f aca="true">IF(I189="","",TODAY()-I189)</f>
        <v/>
      </c>
      <c r="K189" s="5"/>
      <c r="L189" s="5"/>
    </row>
    <row r="190" customFormat="false" ht="15" hidden="false" customHeight="true" outlineLevel="0" collapsed="false">
      <c r="A190" s="5"/>
      <c r="B190" s="5"/>
      <c r="C190" s="5"/>
      <c r="D190" s="5"/>
      <c r="E190" s="5"/>
      <c r="F190" s="5"/>
      <c r="G190" s="5"/>
      <c r="H190" s="5"/>
      <c r="I190" s="7"/>
      <c r="J190" s="8" t="str">
        <f aca="true">IF(I190="","",TODAY()-I190)</f>
        <v/>
      </c>
      <c r="K190" s="5"/>
      <c r="L190" s="5"/>
    </row>
    <row r="191" customFormat="false" ht="15" hidden="false" customHeight="true" outlineLevel="0" collapsed="false">
      <c r="A191" s="5"/>
      <c r="B191" s="5"/>
      <c r="C191" s="5"/>
      <c r="D191" s="5"/>
      <c r="E191" s="5"/>
      <c r="F191" s="5"/>
      <c r="G191" s="5"/>
      <c r="H191" s="5"/>
      <c r="I191" s="7"/>
      <c r="J191" s="8" t="str">
        <f aca="true">IF(I191="","",TODAY()-I191)</f>
        <v/>
      </c>
      <c r="K191" s="5"/>
      <c r="L191" s="5"/>
    </row>
    <row r="192" customFormat="false" ht="15" hidden="false" customHeight="true" outlineLevel="0" collapsed="false">
      <c r="A192" s="5"/>
      <c r="B192" s="5"/>
      <c r="C192" s="5"/>
      <c r="D192" s="5"/>
      <c r="E192" s="5"/>
      <c r="F192" s="5"/>
      <c r="G192" s="5"/>
      <c r="H192" s="5"/>
      <c r="I192" s="7"/>
      <c r="J192" s="8" t="str">
        <f aca="true">IF(I192="","",TODAY()-I192)</f>
        <v/>
      </c>
      <c r="K192" s="5"/>
      <c r="L192" s="5"/>
    </row>
    <row r="193" customFormat="false" ht="15" hidden="false" customHeight="true" outlineLevel="0" collapsed="false">
      <c r="A193" s="5"/>
      <c r="B193" s="5"/>
      <c r="C193" s="5"/>
      <c r="D193" s="5"/>
      <c r="E193" s="5"/>
      <c r="F193" s="5"/>
      <c r="G193" s="5"/>
      <c r="H193" s="5"/>
      <c r="I193" s="7"/>
      <c r="J193" s="8" t="str">
        <f aca="true">IF(I193="","",TODAY()-I193)</f>
        <v/>
      </c>
      <c r="K193" s="5"/>
      <c r="L193" s="5"/>
    </row>
    <row r="194" customFormat="false" ht="15" hidden="false" customHeight="true" outlineLevel="0" collapsed="false">
      <c r="A194" s="5"/>
      <c r="B194" s="5"/>
      <c r="C194" s="5"/>
      <c r="D194" s="5"/>
      <c r="E194" s="5"/>
      <c r="F194" s="5"/>
      <c r="G194" s="5"/>
      <c r="H194" s="5"/>
      <c r="I194" s="7"/>
      <c r="J194" s="8" t="str">
        <f aca="true">IF(I194="","",TODAY()-I194)</f>
        <v/>
      </c>
      <c r="K194" s="5"/>
      <c r="L194" s="5"/>
    </row>
    <row r="195" customFormat="false" ht="15" hidden="false" customHeight="true" outlineLevel="0" collapsed="false">
      <c r="A195" s="5"/>
      <c r="B195" s="5"/>
      <c r="C195" s="5"/>
      <c r="D195" s="5"/>
      <c r="E195" s="5"/>
      <c r="F195" s="5"/>
      <c r="G195" s="5"/>
      <c r="H195" s="5"/>
      <c r="I195" s="7"/>
      <c r="J195" s="8" t="str">
        <f aca="true">IF(I195="","",TODAY()-I195)</f>
        <v/>
      </c>
      <c r="K195" s="5"/>
      <c r="L195" s="5"/>
    </row>
    <row r="196" customFormat="false" ht="15" hidden="false" customHeight="true" outlineLevel="0" collapsed="false">
      <c r="A196" s="5"/>
      <c r="B196" s="5"/>
      <c r="C196" s="5"/>
      <c r="D196" s="5"/>
      <c r="E196" s="5"/>
      <c r="F196" s="5"/>
      <c r="G196" s="5"/>
      <c r="H196" s="5"/>
      <c r="I196" s="7"/>
      <c r="J196" s="8" t="str">
        <f aca="true">IF(I196="","",TODAY()-I196)</f>
        <v/>
      </c>
      <c r="K196" s="5"/>
      <c r="L196" s="5"/>
    </row>
    <row r="197" customFormat="false" ht="15" hidden="false" customHeight="true" outlineLevel="0" collapsed="false">
      <c r="A197" s="5"/>
      <c r="B197" s="5"/>
      <c r="C197" s="5"/>
      <c r="D197" s="5"/>
      <c r="E197" s="5"/>
      <c r="F197" s="5"/>
      <c r="G197" s="5"/>
      <c r="H197" s="5"/>
      <c r="I197" s="7"/>
      <c r="J197" s="8" t="str">
        <f aca="true">IF(I197="","",TODAY()-I197)</f>
        <v/>
      </c>
      <c r="K197" s="5"/>
      <c r="L197" s="5"/>
    </row>
    <row r="198" customFormat="false" ht="15" hidden="false" customHeight="true" outlineLevel="0" collapsed="false">
      <c r="A198" s="5"/>
      <c r="B198" s="5"/>
      <c r="C198" s="5"/>
      <c r="D198" s="5"/>
      <c r="E198" s="5"/>
      <c r="F198" s="5"/>
      <c r="G198" s="5"/>
      <c r="H198" s="5"/>
      <c r="I198" s="7"/>
      <c r="J198" s="8" t="str">
        <f aca="true">IF(I198="","",TODAY()-I198)</f>
        <v/>
      </c>
      <c r="K198" s="5"/>
      <c r="L198" s="5"/>
    </row>
    <row r="199" customFormat="false" ht="15" hidden="false" customHeight="true" outlineLevel="0" collapsed="false">
      <c r="A199" s="5"/>
      <c r="B199" s="5"/>
      <c r="C199" s="5"/>
      <c r="D199" s="5"/>
      <c r="E199" s="5"/>
      <c r="F199" s="5"/>
      <c r="G199" s="5"/>
      <c r="H199" s="5"/>
      <c r="I199" s="7"/>
      <c r="J199" s="8" t="str">
        <f aca="true">IF(I199="","",TODAY()-I199)</f>
        <v/>
      </c>
      <c r="K199" s="5"/>
      <c r="L199" s="5"/>
    </row>
    <row r="200" customFormat="false" ht="15" hidden="false" customHeight="true" outlineLevel="0" collapsed="false">
      <c r="A200" s="5"/>
      <c r="B200" s="5"/>
      <c r="C200" s="5"/>
      <c r="D200" s="5"/>
      <c r="E200" s="5"/>
      <c r="F200" s="5"/>
      <c r="G200" s="5"/>
      <c r="H200" s="5"/>
      <c r="I200" s="7"/>
      <c r="J200" s="8" t="str">
        <f aca="true">IF(I200="","",TODAY()-I200)</f>
        <v/>
      </c>
      <c r="K200" s="5"/>
      <c r="L200" s="5"/>
    </row>
    <row r="201" customFormat="false" ht="15" hidden="false" customHeight="true" outlineLevel="0" collapsed="false">
      <c r="A201" s="5"/>
      <c r="B201" s="5"/>
      <c r="C201" s="5"/>
      <c r="D201" s="5"/>
      <c r="E201" s="5"/>
      <c r="F201" s="5"/>
      <c r="G201" s="5"/>
      <c r="H201" s="5"/>
      <c r="I201" s="7"/>
      <c r="J201" s="8" t="str">
        <f aca="true">IF(I201="","",TODAY()-I201)</f>
        <v/>
      </c>
      <c r="K201" s="5"/>
      <c r="L201" s="5"/>
    </row>
    <row r="202" customFormat="false" ht="15" hidden="false" customHeight="true" outlineLevel="0" collapsed="false">
      <c r="A202" s="5"/>
      <c r="B202" s="5"/>
      <c r="C202" s="5"/>
      <c r="D202" s="5"/>
      <c r="E202" s="5"/>
      <c r="F202" s="5"/>
      <c r="G202" s="5"/>
      <c r="H202" s="5"/>
      <c r="I202" s="7"/>
      <c r="J202" s="8" t="str">
        <f aca="true">IF(I202="","",TODAY()-I202)</f>
        <v/>
      </c>
      <c r="K202" s="5"/>
      <c r="L202" s="5"/>
    </row>
    <row r="203" customFormat="false" ht="15" hidden="false" customHeight="true" outlineLevel="0" collapsed="false">
      <c r="A203" s="5"/>
      <c r="B203" s="5"/>
      <c r="C203" s="5"/>
      <c r="D203" s="5"/>
      <c r="E203" s="5"/>
      <c r="F203" s="5"/>
      <c r="G203" s="5"/>
      <c r="H203" s="5"/>
      <c r="I203" s="7"/>
      <c r="J203" s="8" t="str">
        <f aca="true">IF(I203="","",TODAY()-I203)</f>
        <v/>
      </c>
      <c r="K203" s="5"/>
      <c r="L203" s="5"/>
    </row>
    <row r="204" customFormat="false" ht="15" hidden="false" customHeight="true" outlineLevel="0" collapsed="false">
      <c r="A204" s="5"/>
      <c r="B204" s="5"/>
      <c r="C204" s="5"/>
      <c r="D204" s="5"/>
      <c r="E204" s="5"/>
      <c r="F204" s="5"/>
      <c r="G204" s="5"/>
      <c r="H204" s="5"/>
      <c r="I204" s="7"/>
      <c r="J204" s="8" t="str">
        <f aca="true">IF(I204="","",TODAY()-I204)</f>
        <v/>
      </c>
      <c r="K204" s="5"/>
      <c r="L204" s="5"/>
    </row>
    <row r="205" customFormat="false" ht="15" hidden="false" customHeight="true" outlineLevel="0" collapsed="false">
      <c r="A205" s="5"/>
      <c r="B205" s="5"/>
      <c r="C205" s="5"/>
      <c r="D205" s="5"/>
      <c r="E205" s="5"/>
      <c r="F205" s="5"/>
      <c r="G205" s="5"/>
      <c r="H205" s="5"/>
      <c r="I205" s="7"/>
      <c r="J205" s="8" t="str">
        <f aca="true">IF(I205="","",TODAY()-I205)</f>
        <v/>
      </c>
      <c r="K205" s="5"/>
      <c r="L205" s="5"/>
    </row>
    <row r="206" customFormat="false" ht="15" hidden="false" customHeight="true" outlineLevel="0" collapsed="false">
      <c r="A206" s="5"/>
      <c r="B206" s="5"/>
      <c r="C206" s="5"/>
      <c r="D206" s="5"/>
      <c r="E206" s="5"/>
      <c r="F206" s="5"/>
      <c r="G206" s="5"/>
      <c r="H206" s="5"/>
      <c r="I206" s="7"/>
      <c r="J206" s="8" t="str">
        <f aca="true">IF(I206="","",TODAY()-I206)</f>
        <v/>
      </c>
      <c r="K206" s="5"/>
      <c r="L206" s="5"/>
    </row>
    <row r="207" customFormat="false" ht="15" hidden="false" customHeight="true" outlineLevel="0" collapsed="false">
      <c r="A207" s="5"/>
      <c r="B207" s="5"/>
      <c r="C207" s="5"/>
      <c r="D207" s="5"/>
      <c r="E207" s="5"/>
      <c r="F207" s="5"/>
      <c r="G207" s="5"/>
      <c r="H207" s="5"/>
      <c r="I207" s="7"/>
      <c r="J207" s="8" t="str">
        <f aca="true">IF(I207="","",TODAY()-I207)</f>
        <v/>
      </c>
      <c r="K207" s="5"/>
      <c r="L207" s="5"/>
    </row>
    <row r="208" customFormat="false" ht="15" hidden="false" customHeight="true" outlineLevel="0" collapsed="false">
      <c r="A208" s="5"/>
      <c r="B208" s="5"/>
      <c r="C208" s="5"/>
      <c r="D208" s="5"/>
      <c r="E208" s="5"/>
      <c r="F208" s="5"/>
      <c r="G208" s="5"/>
      <c r="H208" s="5"/>
      <c r="I208" s="7"/>
      <c r="J208" s="8" t="str">
        <f aca="true">IF(I208="","",TODAY()-I208)</f>
        <v/>
      </c>
      <c r="K208" s="5"/>
      <c r="L208" s="5"/>
    </row>
    <row r="209" customFormat="false" ht="15" hidden="false" customHeight="true" outlineLevel="0" collapsed="false">
      <c r="A209" s="5"/>
      <c r="B209" s="5"/>
      <c r="C209" s="5"/>
      <c r="D209" s="5"/>
      <c r="E209" s="5"/>
      <c r="F209" s="5"/>
      <c r="G209" s="5"/>
      <c r="H209" s="5"/>
      <c r="I209" s="7"/>
      <c r="J209" s="8" t="str">
        <f aca="true">IF(I209="","",TODAY()-I209)</f>
        <v/>
      </c>
      <c r="K209" s="5"/>
      <c r="L209" s="5"/>
    </row>
    <row r="210" customFormat="false" ht="15" hidden="false" customHeight="true" outlineLevel="0" collapsed="false">
      <c r="A210" s="5"/>
      <c r="B210" s="5"/>
      <c r="C210" s="5"/>
      <c r="D210" s="5"/>
      <c r="E210" s="5"/>
      <c r="F210" s="5"/>
      <c r="G210" s="5"/>
      <c r="H210" s="5"/>
      <c r="I210" s="7"/>
      <c r="J210" s="8" t="str">
        <f aca="true">IF(I210="","",TODAY()-I210)</f>
        <v/>
      </c>
      <c r="K210" s="5"/>
      <c r="L210" s="5"/>
    </row>
    <row r="211" customFormat="false" ht="15" hidden="false" customHeight="true" outlineLevel="0" collapsed="false">
      <c r="A211" s="5"/>
      <c r="B211" s="5"/>
      <c r="C211" s="5"/>
      <c r="D211" s="5"/>
      <c r="E211" s="5"/>
      <c r="F211" s="5"/>
      <c r="G211" s="5"/>
      <c r="H211" s="5"/>
      <c r="I211" s="7"/>
      <c r="J211" s="8" t="str">
        <f aca="true">IF(I211="","",TODAY()-I211)</f>
        <v/>
      </c>
      <c r="K211" s="5"/>
      <c r="L211" s="5"/>
    </row>
    <row r="212" customFormat="false" ht="15" hidden="false" customHeight="true" outlineLevel="0" collapsed="false">
      <c r="A212" s="5"/>
      <c r="B212" s="5"/>
      <c r="C212" s="5"/>
      <c r="D212" s="5"/>
      <c r="E212" s="5"/>
      <c r="F212" s="5"/>
      <c r="G212" s="5"/>
      <c r="H212" s="5"/>
      <c r="I212" s="7"/>
      <c r="J212" s="8" t="str">
        <f aca="true">IF(I212="","",TODAY()-I212)</f>
        <v/>
      </c>
      <c r="K212" s="5"/>
      <c r="L212" s="5"/>
    </row>
    <row r="213" customFormat="false" ht="15" hidden="false" customHeight="true" outlineLevel="0" collapsed="false">
      <c r="A213" s="5"/>
      <c r="B213" s="5"/>
      <c r="C213" s="5"/>
      <c r="D213" s="5"/>
      <c r="E213" s="5"/>
      <c r="F213" s="5"/>
      <c r="G213" s="5"/>
      <c r="H213" s="5"/>
      <c r="I213" s="7"/>
      <c r="J213" s="8" t="str">
        <f aca="true">IF(I213="","",TODAY()-I213)</f>
        <v/>
      </c>
      <c r="K213" s="5"/>
      <c r="L213" s="5"/>
    </row>
    <row r="214" customFormat="false" ht="15" hidden="false" customHeight="true" outlineLevel="0" collapsed="false">
      <c r="A214" s="5"/>
      <c r="B214" s="5"/>
      <c r="C214" s="5"/>
      <c r="D214" s="5"/>
      <c r="E214" s="5"/>
      <c r="F214" s="5"/>
      <c r="G214" s="5"/>
      <c r="H214" s="5"/>
      <c r="I214" s="7"/>
      <c r="J214" s="8" t="str">
        <f aca="true">IF(I214="","",TODAY()-I214)</f>
        <v/>
      </c>
      <c r="K214" s="5"/>
      <c r="L214" s="5"/>
    </row>
    <row r="215" customFormat="false" ht="15" hidden="false" customHeight="true" outlineLevel="0" collapsed="false">
      <c r="A215" s="5"/>
      <c r="B215" s="5"/>
      <c r="C215" s="5"/>
      <c r="D215" s="5"/>
      <c r="E215" s="5"/>
      <c r="F215" s="5"/>
      <c r="G215" s="5"/>
      <c r="H215" s="5"/>
      <c r="I215" s="7"/>
      <c r="J215" s="8" t="str">
        <f aca="true">IF(I215="","",TODAY()-I215)</f>
        <v/>
      </c>
      <c r="K215" s="5"/>
      <c r="L215" s="5"/>
    </row>
    <row r="216" customFormat="false" ht="15" hidden="false" customHeight="true" outlineLevel="0" collapsed="false">
      <c r="A216" s="5"/>
      <c r="B216" s="5"/>
      <c r="C216" s="5"/>
      <c r="D216" s="5"/>
      <c r="E216" s="5"/>
      <c r="F216" s="5"/>
      <c r="G216" s="5"/>
      <c r="H216" s="5"/>
      <c r="I216" s="7"/>
      <c r="J216" s="8" t="str">
        <f aca="true">IF(I216="","",TODAY()-I216)</f>
        <v/>
      </c>
      <c r="K216" s="5"/>
      <c r="L216" s="5"/>
    </row>
    <row r="217" customFormat="false" ht="15" hidden="false" customHeight="true" outlineLevel="0" collapsed="false">
      <c r="A217" s="5"/>
      <c r="B217" s="5"/>
      <c r="C217" s="5"/>
      <c r="D217" s="5"/>
      <c r="E217" s="5"/>
      <c r="F217" s="5"/>
      <c r="G217" s="5"/>
      <c r="H217" s="5"/>
      <c r="I217" s="7"/>
      <c r="J217" s="8" t="str">
        <f aca="true">IF(I217="","",TODAY()-I217)</f>
        <v/>
      </c>
      <c r="K217" s="5"/>
      <c r="L217" s="5"/>
    </row>
    <row r="218" customFormat="false" ht="15" hidden="false" customHeight="true" outlineLevel="0" collapsed="false">
      <c r="A218" s="5"/>
      <c r="B218" s="5"/>
      <c r="C218" s="5"/>
      <c r="D218" s="5"/>
      <c r="E218" s="5"/>
      <c r="F218" s="5"/>
      <c r="G218" s="5"/>
      <c r="H218" s="5"/>
      <c r="I218" s="7"/>
      <c r="J218" s="8" t="str">
        <f aca="true">IF(I218="","",TODAY()-I218)</f>
        <v/>
      </c>
      <c r="K218" s="5"/>
      <c r="L218" s="5"/>
    </row>
    <row r="219" customFormat="false" ht="15" hidden="false" customHeight="true" outlineLevel="0" collapsed="false">
      <c r="A219" s="5"/>
      <c r="B219" s="5"/>
      <c r="C219" s="5"/>
      <c r="D219" s="5"/>
      <c r="E219" s="5"/>
      <c r="F219" s="5"/>
      <c r="G219" s="5"/>
      <c r="H219" s="5"/>
      <c r="I219" s="7"/>
      <c r="J219" s="8" t="str">
        <f aca="true">IF(I219="","",TODAY()-I219)</f>
        <v/>
      </c>
      <c r="K219" s="5"/>
      <c r="L219" s="5"/>
    </row>
    <row r="220" customFormat="false" ht="15" hidden="false" customHeight="true" outlineLevel="0" collapsed="false">
      <c r="A220" s="5"/>
      <c r="B220" s="5"/>
      <c r="C220" s="5"/>
      <c r="D220" s="5"/>
      <c r="E220" s="5"/>
      <c r="F220" s="5"/>
      <c r="G220" s="5"/>
      <c r="H220" s="5"/>
      <c r="I220" s="7"/>
      <c r="J220" s="8" t="str">
        <f aca="true">IF(I220="","",TODAY()-I220)</f>
        <v/>
      </c>
      <c r="K220" s="5"/>
      <c r="L220" s="5"/>
    </row>
    <row r="221" customFormat="false" ht="15" hidden="false" customHeight="true" outlineLevel="0" collapsed="false">
      <c r="A221" s="5"/>
      <c r="B221" s="5"/>
      <c r="C221" s="5"/>
      <c r="D221" s="5"/>
      <c r="E221" s="5"/>
      <c r="F221" s="5"/>
      <c r="G221" s="5"/>
      <c r="H221" s="5"/>
      <c r="I221" s="7"/>
      <c r="J221" s="8" t="str">
        <f aca="true">IF(I221="","",TODAY()-I221)</f>
        <v/>
      </c>
      <c r="K221" s="5"/>
      <c r="L221" s="5"/>
    </row>
    <row r="222" customFormat="false" ht="15" hidden="false" customHeight="true" outlineLevel="0" collapsed="false">
      <c r="A222" s="5"/>
      <c r="B222" s="5"/>
      <c r="C222" s="5"/>
      <c r="D222" s="5"/>
      <c r="E222" s="5"/>
      <c r="F222" s="5"/>
      <c r="G222" s="5"/>
      <c r="H222" s="5"/>
      <c r="I222" s="7"/>
      <c r="J222" s="8" t="str">
        <f aca="true">IF(I222="","",TODAY()-I222)</f>
        <v/>
      </c>
      <c r="K222" s="5"/>
      <c r="L222" s="5"/>
    </row>
    <row r="223" customFormat="false" ht="15" hidden="false" customHeight="true" outlineLevel="0" collapsed="false">
      <c r="A223" s="5"/>
      <c r="B223" s="5"/>
      <c r="C223" s="5"/>
      <c r="D223" s="5"/>
      <c r="E223" s="5"/>
      <c r="F223" s="5"/>
      <c r="G223" s="5"/>
      <c r="H223" s="5"/>
      <c r="I223" s="7"/>
      <c r="J223" s="8" t="str">
        <f aca="true">IF(I223="","",TODAY()-I223)</f>
        <v/>
      </c>
      <c r="K223" s="5"/>
      <c r="L223" s="5"/>
    </row>
    <row r="224" customFormat="false" ht="15" hidden="false" customHeight="true" outlineLevel="0" collapsed="false">
      <c r="A224" s="5"/>
      <c r="B224" s="5"/>
      <c r="C224" s="5"/>
      <c r="D224" s="5"/>
      <c r="E224" s="5"/>
      <c r="F224" s="5"/>
      <c r="G224" s="5"/>
      <c r="H224" s="5"/>
      <c r="I224" s="7"/>
      <c r="J224" s="8" t="str">
        <f aca="true">IF(I224="","",TODAY()-I224)</f>
        <v/>
      </c>
      <c r="K224" s="5"/>
      <c r="L224" s="5"/>
    </row>
    <row r="225" customFormat="false" ht="15" hidden="false" customHeight="true" outlineLevel="0" collapsed="false">
      <c r="A225" s="5"/>
      <c r="B225" s="5"/>
      <c r="C225" s="5"/>
      <c r="D225" s="5"/>
      <c r="E225" s="5"/>
      <c r="F225" s="5"/>
      <c r="G225" s="5"/>
      <c r="H225" s="5"/>
      <c r="I225" s="7"/>
      <c r="J225" s="8" t="str">
        <f aca="true">IF(I225="","",TODAY()-I225)</f>
        <v/>
      </c>
      <c r="K225" s="5"/>
      <c r="L225" s="5"/>
    </row>
    <row r="226" customFormat="false" ht="15" hidden="false" customHeight="true" outlineLevel="0" collapsed="false">
      <c r="A226" s="5"/>
      <c r="B226" s="5"/>
      <c r="C226" s="5"/>
      <c r="D226" s="5"/>
      <c r="E226" s="5"/>
      <c r="F226" s="5"/>
      <c r="G226" s="5"/>
      <c r="H226" s="5"/>
      <c r="I226" s="7"/>
      <c r="J226" s="8" t="str">
        <f aca="true">IF(I226="","",TODAY()-I226)</f>
        <v/>
      </c>
      <c r="K226" s="5"/>
      <c r="L226" s="5"/>
    </row>
    <row r="227" customFormat="false" ht="15" hidden="false" customHeight="true" outlineLevel="0" collapsed="false">
      <c r="A227" s="5"/>
      <c r="B227" s="5"/>
      <c r="C227" s="5"/>
      <c r="D227" s="5"/>
      <c r="E227" s="5"/>
      <c r="F227" s="5"/>
      <c r="G227" s="5"/>
      <c r="H227" s="5"/>
      <c r="I227" s="7"/>
      <c r="J227" s="8" t="str">
        <f aca="true">IF(I227="","",TODAY()-I227)</f>
        <v/>
      </c>
      <c r="K227" s="5"/>
      <c r="L227" s="5"/>
    </row>
    <row r="228" customFormat="false" ht="15" hidden="false" customHeight="true" outlineLevel="0" collapsed="false">
      <c r="A228" s="5"/>
      <c r="B228" s="5"/>
      <c r="C228" s="5"/>
      <c r="D228" s="5"/>
      <c r="E228" s="5"/>
      <c r="F228" s="5"/>
      <c r="G228" s="5"/>
      <c r="H228" s="5"/>
      <c r="I228" s="7"/>
      <c r="J228" s="8" t="str">
        <f aca="true">IF(I228="","",TODAY()-I228)</f>
        <v/>
      </c>
      <c r="K228" s="5"/>
      <c r="L228" s="5"/>
    </row>
    <row r="229" customFormat="false" ht="15" hidden="false" customHeight="true" outlineLevel="0" collapsed="false">
      <c r="A229" s="5"/>
      <c r="B229" s="5"/>
      <c r="C229" s="5"/>
      <c r="D229" s="5"/>
      <c r="E229" s="5"/>
      <c r="F229" s="5"/>
      <c r="G229" s="5"/>
      <c r="H229" s="5"/>
      <c r="I229" s="7"/>
      <c r="J229" s="8" t="str">
        <f aca="true">IF(I229="","",TODAY()-I229)</f>
        <v/>
      </c>
      <c r="K229" s="5"/>
      <c r="L229" s="5"/>
    </row>
    <row r="230" customFormat="false" ht="15" hidden="false" customHeight="true" outlineLevel="0" collapsed="false">
      <c r="A230" s="5"/>
      <c r="B230" s="5"/>
      <c r="C230" s="5"/>
      <c r="D230" s="5"/>
      <c r="E230" s="5"/>
      <c r="F230" s="5"/>
      <c r="G230" s="5"/>
      <c r="H230" s="5"/>
      <c r="I230" s="7"/>
      <c r="J230" s="8" t="str">
        <f aca="true">IF(I230="","",TODAY()-I230)</f>
        <v/>
      </c>
      <c r="K230" s="5"/>
      <c r="L230" s="5"/>
    </row>
    <row r="231" customFormat="false" ht="15" hidden="false" customHeight="true" outlineLevel="0" collapsed="false">
      <c r="A231" s="5"/>
      <c r="B231" s="5"/>
      <c r="C231" s="5"/>
      <c r="D231" s="5"/>
      <c r="E231" s="5"/>
      <c r="F231" s="5"/>
      <c r="G231" s="5"/>
      <c r="H231" s="5"/>
      <c r="I231" s="7"/>
      <c r="J231" s="8" t="str">
        <f aca="true">IF(I231="","",TODAY()-I231)</f>
        <v/>
      </c>
      <c r="K231" s="5"/>
      <c r="L231" s="5"/>
    </row>
    <row r="232" customFormat="false" ht="15" hidden="false" customHeight="true" outlineLevel="0" collapsed="false">
      <c r="A232" s="5"/>
      <c r="B232" s="5"/>
      <c r="C232" s="5"/>
      <c r="D232" s="5"/>
      <c r="E232" s="5"/>
      <c r="F232" s="5"/>
      <c r="G232" s="5"/>
      <c r="H232" s="5"/>
      <c r="I232" s="7"/>
      <c r="J232" s="8" t="str">
        <f aca="true">IF(I232="","",TODAY()-I232)</f>
        <v/>
      </c>
      <c r="K232" s="5"/>
      <c r="L232" s="5"/>
    </row>
    <row r="233" customFormat="false" ht="15" hidden="false" customHeight="true" outlineLevel="0" collapsed="false">
      <c r="A233" s="5"/>
      <c r="B233" s="5"/>
      <c r="C233" s="5"/>
      <c r="D233" s="5"/>
      <c r="E233" s="5"/>
      <c r="F233" s="5"/>
      <c r="G233" s="5"/>
      <c r="H233" s="5"/>
      <c r="I233" s="7"/>
      <c r="J233" s="8" t="str">
        <f aca="true">IF(I233="","",TODAY()-I233)</f>
        <v/>
      </c>
      <c r="K233" s="5"/>
      <c r="L233" s="5"/>
    </row>
    <row r="234" customFormat="false" ht="15" hidden="false" customHeight="true" outlineLevel="0" collapsed="false">
      <c r="A234" s="5"/>
      <c r="B234" s="5"/>
      <c r="C234" s="5"/>
      <c r="D234" s="5"/>
      <c r="E234" s="5"/>
      <c r="F234" s="5"/>
      <c r="G234" s="5"/>
      <c r="H234" s="5"/>
      <c r="I234" s="7"/>
      <c r="J234" s="8" t="str">
        <f aca="true">IF(I234="","",TODAY()-I234)</f>
        <v/>
      </c>
      <c r="K234" s="5"/>
      <c r="L234" s="5"/>
    </row>
    <row r="235" customFormat="false" ht="15" hidden="false" customHeight="true" outlineLevel="0" collapsed="false">
      <c r="A235" s="5"/>
      <c r="B235" s="5"/>
      <c r="C235" s="5"/>
      <c r="D235" s="5"/>
      <c r="E235" s="5"/>
      <c r="F235" s="5"/>
      <c r="G235" s="5"/>
      <c r="H235" s="5"/>
      <c r="I235" s="7"/>
      <c r="J235" s="8" t="str">
        <f aca="true">IF(I235="","",TODAY()-I235)</f>
        <v/>
      </c>
      <c r="K235" s="5"/>
      <c r="L235" s="5"/>
    </row>
    <row r="236" customFormat="false" ht="15" hidden="false" customHeight="true" outlineLevel="0" collapsed="false">
      <c r="A236" s="5"/>
      <c r="B236" s="5"/>
      <c r="C236" s="5"/>
      <c r="D236" s="5"/>
      <c r="E236" s="5"/>
      <c r="F236" s="5"/>
      <c r="G236" s="5"/>
      <c r="H236" s="5"/>
      <c r="I236" s="7"/>
      <c r="J236" s="8" t="str">
        <f aca="true">IF(I236="","",TODAY()-I236)</f>
        <v/>
      </c>
      <c r="K236" s="5"/>
      <c r="L236" s="5"/>
    </row>
    <row r="237" customFormat="false" ht="15" hidden="false" customHeight="true" outlineLevel="0" collapsed="false">
      <c r="A237" s="5"/>
      <c r="B237" s="5"/>
      <c r="C237" s="5"/>
      <c r="D237" s="5"/>
      <c r="E237" s="5"/>
      <c r="F237" s="5"/>
      <c r="G237" s="5"/>
      <c r="H237" s="5"/>
      <c r="I237" s="7"/>
      <c r="J237" s="8" t="str">
        <f aca="true">IF(I237="","",TODAY()-I237)</f>
        <v/>
      </c>
      <c r="K237" s="5"/>
      <c r="L237" s="5"/>
    </row>
    <row r="238" customFormat="false" ht="15" hidden="false" customHeight="true" outlineLevel="0" collapsed="false">
      <c r="A238" s="5"/>
      <c r="B238" s="5"/>
      <c r="C238" s="5"/>
      <c r="D238" s="5"/>
      <c r="E238" s="5"/>
      <c r="F238" s="5"/>
      <c r="G238" s="5"/>
      <c r="H238" s="5"/>
      <c r="I238" s="7"/>
      <c r="J238" s="8" t="str">
        <f aca="true">IF(I238="","",TODAY()-I238)</f>
        <v/>
      </c>
      <c r="K238" s="5"/>
      <c r="L238" s="5"/>
    </row>
    <row r="239" customFormat="false" ht="15" hidden="false" customHeight="true" outlineLevel="0" collapsed="false">
      <c r="A239" s="5"/>
      <c r="B239" s="5"/>
      <c r="C239" s="5"/>
      <c r="D239" s="5"/>
      <c r="E239" s="5"/>
      <c r="F239" s="5"/>
      <c r="G239" s="5"/>
      <c r="H239" s="5"/>
      <c r="I239" s="7"/>
      <c r="J239" s="8" t="str">
        <f aca="true">IF(I239="","",TODAY()-I239)</f>
        <v/>
      </c>
      <c r="K239" s="5"/>
      <c r="L239" s="5"/>
    </row>
    <row r="240" customFormat="false" ht="15" hidden="false" customHeight="true" outlineLevel="0" collapsed="false">
      <c r="A240" s="5"/>
      <c r="B240" s="5"/>
      <c r="C240" s="5"/>
      <c r="D240" s="5"/>
      <c r="E240" s="5"/>
      <c r="F240" s="5"/>
      <c r="G240" s="5"/>
      <c r="H240" s="5"/>
      <c r="I240" s="7"/>
      <c r="J240" s="8" t="str">
        <f aca="true">IF(I240="","",TODAY()-I240)</f>
        <v/>
      </c>
      <c r="K240" s="5"/>
      <c r="L240" s="5"/>
    </row>
    <row r="241" customFormat="false" ht="15" hidden="false" customHeight="true" outlineLevel="0" collapsed="false">
      <c r="A241" s="5"/>
      <c r="B241" s="5"/>
      <c r="C241" s="5"/>
      <c r="D241" s="5"/>
      <c r="E241" s="5"/>
      <c r="F241" s="5"/>
      <c r="G241" s="5"/>
      <c r="H241" s="5"/>
      <c r="I241" s="7"/>
      <c r="J241" s="8" t="str">
        <f aca="true">IF(I241="","",TODAY()-I241)</f>
        <v/>
      </c>
      <c r="K241" s="5"/>
      <c r="L241" s="5"/>
    </row>
    <row r="242" customFormat="false" ht="15" hidden="false" customHeight="true" outlineLevel="0" collapsed="false">
      <c r="A242" s="5"/>
      <c r="B242" s="5"/>
      <c r="C242" s="5"/>
      <c r="D242" s="5"/>
      <c r="E242" s="5"/>
      <c r="F242" s="5"/>
      <c r="G242" s="5"/>
      <c r="H242" s="5"/>
      <c r="I242" s="7"/>
      <c r="J242" s="8" t="str">
        <f aca="true">IF(I242="","",TODAY()-I242)</f>
        <v/>
      </c>
      <c r="K242" s="5"/>
      <c r="L242" s="5"/>
    </row>
    <row r="243" customFormat="false" ht="15" hidden="false" customHeight="true" outlineLevel="0" collapsed="false">
      <c r="A243" s="5"/>
      <c r="B243" s="5"/>
      <c r="C243" s="5"/>
      <c r="D243" s="5"/>
      <c r="E243" s="5"/>
      <c r="F243" s="5"/>
      <c r="G243" s="5"/>
      <c r="H243" s="5"/>
      <c r="I243" s="7"/>
      <c r="J243" s="8" t="str">
        <f aca="true">IF(I243="","",TODAY()-I243)</f>
        <v/>
      </c>
      <c r="K243" s="5"/>
      <c r="L243" s="5"/>
    </row>
    <row r="244" customFormat="false" ht="15" hidden="false" customHeight="true" outlineLevel="0" collapsed="false">
      <c r="A244" s="5"/>
      <c r="B244" s="5"/>
      <c r="C244" s="5"/>
      <c r="D244" s="5"/>
      <c r="E244" s="5"/>
      <c r="F244" s="5"/>
      <c r="G244" s="5"/>
      <c r="H244" s="5"/>
      <c r="I244" s="7"/>
      <c r="J244" s="8" t="str">
        <f aca="true">IF(I244="","",TODAY()-I244)</f>
        <v/>
      </c>
      <c r="K244" s="5"/>
      <c r="L244" s="5"/>
    </row>
    <row r="245" customFormat="false" ht="15" hidden="false" customHeight="true" outlineLevel="0" collapsed="false">
      <c r="A245" s="5"/>
      <c r="B245" s="5"/>
      <c r="C245" s="5"/>
      <c r="D245" s="5"/>
      <c r="E245" s="5"/>
      <c r="F245" s="5"/>
      <c r="G245" s="5"/>
      <c r="H245" s="5"/>
      <c r="I245" s="7"/>
      <c r="J245" s="8" t="str">
        <f aca="true">IF(I245="","",TODAY()-I245)</f>
        <v/>
      </c>
      <c r="K245" s="5"/>
      <c r="L245" s="5"/>
    </row>
    <row r="246" customFormat="false" ht="15" hidden="false" customHeight="true" outlineLevel="0" collapsed="false">
      <c r="A246" s="5"/>
      <c r="B246" s="5"/>
      <c r="C246" s="5"/>
      <c r="D246" s="5"/>
      <c r="E246" s="5"/>
      <c r="F246" s="5"/>
      <c r="G246" s="5"/>
      <c r="H246" s="5"/>
      <c r="I246" s="7"/>
      <c r="J246" s="8" t="str">
        <f aca="true">IF(I246="","",TODAY()-I246)</f>
        <v/>
      </c>
      <c r="K246" s="5"/>
      <c r="L246" s="5"/>
    </row>
    <row r="247" customFormat="false" ht="15" hidden="false" customHeight="true" outlineLevel="0" collapsed="false">
      <c r="A247" s="5"/>
      <c r="B247" s="5"/>
      <c r="C247" s="5"/>
      <c r="D247" s="5"/>
      <c r="E247" s="5"/>
      <c r="F247" s="5"/>
      <c r="G247" s="5"/>
      <c r="H247" s="5"/>
      <c r="I247" s="7"/>
      <c r="J247" s="8" t="str">
        <f aca="true">IF(I247="","",TODAY()-I247)</f>
        <v/>
      </c>
      <c r="K247" s="5"/>
      <c r="L247" s="5"/>
    </row>
    <row r="248" customFormat="false" ht="15" hidden="false" customHeight="true" outlineLevel="0" collapsed="false">
      <c r="A248" s="5"/>
      <c r="B248" s="5"/>
      <c r="C248" s="5"/>
      <c r="D248" s="5"/>
      <c r="E248" s="5"/>
      <c r="F248" s="5"/>
      <c r="G248" s="5"/>
      <c r="H248" s="5"/>
      <c r="I248" s="7"/>
      <c r="J248" s="8" t="str">
        <f aca="true">IF(I248="","",TODAY()-I248)</f>
        <v/>
      </c>
      <c r="K248" s="5"/>
      <c r="L248" s="5"/>
    </row>
    <row r="249" customFormat="false" ht="15" hidden="false" customHeight="true" outlineLevel="0" collapsed="false">
      <c r="A249" s="5"/>
      <c r="B249" s="5"/>
      <c r="C249" s="5"/>
      <c r="D249" s="5"/>
      <c r="E249" s="5"/>
      <c r="F249" s="5"/>
      <c r="G249" s="5"/>
      <c r="H249" s="5"/>
      <c r="I249" s="7"/>
      <c r="J249" s="8" t="str">
        <f aca="true">IF(I249="","",TODAY()-I249)</f>
        <v/>
      </c>
      <c r="K249" s="5"/>
      <c r="L249" s="5"/>
    </row>
    <row r="250" customFormat="false" ht="15" hidden="false" customHeight="true" outlineLevel="0" collapsed="false">
      <c r="A250" s="5"/>
      <c r="B250" s="5"/>
      <c r="C250" s="5"/>
      <c r="D250" s="5"/>
      <c r="E250" s="5"/>
      <c r="F250" s="5"/>
      <c r="G250" s="5"/>
      <c r="H250" s="5"/>
      <c r="I250" s="7"/>
      <c r="J250" s="8" t="str">
        <f aca="true">IF(I250="","",TODAY()-I250)</f>
        <v/>
      </c>
      <c r="K250" s="5"/>
      <c r="L250" s="5"/>
    </row>
    <row r="251" customFormat="false" ht="15" hidden="false" customHeight="true" outlineLevel="0" collapsed="false">
      <c r="A251" s="5"/>
      <c r="B251" s="5"/>
      <c r="C251" s="5"/>
      <c r="D251" s="5"/>
      <c r="E251" s="5"/>
      <c r="F251" s="5"/>
      <c r="G251" s="5"/>
      <c r="H251" s="5"/>
      <c r="I251" s="7"/>
      <c r="J251" s="8" t="str">
        <f aca="true">IF(I251="","",TODAY()-I251)</f>
        <v/>
      </c>
      <c r="K251" s="5"/>
      <c r="L251" s="5"/>
    </row>
    <row r="252" customFormat="false" ht="15" hidden="false" customHeight="true" outlineLevel="0" collapsed="false">
      <c r="A252" s="5"/>
      <c r="B252" s="5"/>
      <c r="C252" s="5"/>
      <c r="D252" s="5"/>
      <c r="E252" s="5"/>
      <c r="F252" s="5"/>
      <c r="G252" s="5"/>
      <c r="H252" s="5"/>
      <c r="I252" s="7"/>
      <c r="J252" s="8" t="str">
        <f aca="true">IF(I252="","",TODAY()-I252)</f>
        <v/>
      </c>
      <c r="K252" s="5"/>
      <c r="L252" s="5"/>
    </row>
    <row r="253" customFormat="false" ht="15" hidden="false" customHeight="true" outlineLevel="0" collapsed="false">
      <c r="A253" s="5"/>
      <c r="B253" s="5"/>
      <c r="C253" s="5"/>
      <c r="D253" s="5"/>
      <c r="E253" s="5"/>
      <c r="F253" s="5"/>
      <c r="G253" s="5"/>
      <c r="H253" s="5"/>
      <c r="I253" s="7"/>
      <c r="J253" s="8" t="str">
        <f aca="true">IF(I253="","",TODAY()-I253)</f>
        <v/>
      </c>
      <c r="K253" s="5"/>
      <c r="L253" s="5"/>
    </row>
    <row r="254" customFormat="false" ht="15" hidden="false" customHeight="true" outlineLevel="0" collapsed="false">
      <c r="A254" s="5"/>
      <c r="B254" s="5"/>
      <c r="C254" s="5"/>
      <c r="D254" s="5"/>
      <c r="E254" s="5"/>
      <c r="F254" s="5"/>
      <c r="G254" s="5"/>
      <c r="H254" s="5"/>
      <c r="I254" s="7"/>
      <c r="J254" s="8" t="str">
        <f aca="true">IF(I254="","",TODAY()-I254)</f>
        <v/>
      </c>
      <c r="K254" s="5"/>
      <c r="L254" s="5"/>
    </row>
    <row r="255" customFormat="false" ht="15" hidden="false" customHeight="true" outlineLevel="0" collapsed="false">
      <c r="A255" s="5"/>
      <c r="B255" s="5"/>
      <c r="C255" s="5"/>
      <c r="D255" s="5"/>
      <c r="E255" s="5"/>
      <c r="F255" s="5"/>
      <c r="G255" s="5"/>
      <c r="H255" s="5"/>
      <c r="I255" s="7"/>
      <c r="J255" s="8" t="str">
        <f aca="true">IF(I255="","",TODAY()-I255)</f>
        <v/>
      </c>
      <c r="K255" s="5"/>
      <c r="L255" s="5"/>
    </row>
    <row r="256" customFormat="false" ht="15" hidden="false" customHeight="true" outlineLevel="0" collapsed="false">
      <c r="A256" s="5"/>
      <c r="B256" s="5"/>
      <c r="C256" s="5"/>
      <c r="D256" s="5"/>
      <c r="E256" s="5"/>
      <c r="F256" s="5"/>
      <c r="G256" s="5"/>
      <c r="H256" s="5"/>
      <c r="I256" s="7"/>
      <c r="J256" s="8" t="str">
        <f aca="true">IF(I256="","",TODAY()-I256)</f>
        <v/>
      </c>
      <c r="K256" s="5"/>
      <c r="L256" s="5"/>
    </row>
    <row r="257" customFormat="false" ht="15" hidden="false" customHeight="true" outlineLevel="0" collapsed="false">
      <c r="A257" s="5"/>
      <c r="B257" s="5"/>
      <c r="C257" s="5"/>
      <c r="D257" s="5"/>
      <c r="E257" s="5"/>
      <c r="F257" s="5"/>
      <c r="G257" s="5"/>
      <c r="H257" s="5"/>
      <c r="I257" s="7"/>
      <c r="J257" s="8" t="str">
        <f aca="true">IF(I257="","",TODAY()-I257)</f>
        <v/>
      </c>
      <c r="K257" s="5"/>
      <c r="L257" s="5"/>
    </row>
    <row r="258" customFormat="false" ht="15" hidden="false" customHeight="true" outlineLevel="0" collapsed="false">
      <c r="A258" s="5"/>
      <c r="B258" s="5"/>
      <c r="C258" s="5"/>
      <c r="D258" s="5"/>
      <c r="E258" s="5"/>
      <c r="F258" s="5"/>
      <c r="G258" s="5"/>
      <c r="H258" s="5"/>
      <c r="I258" s="7"/>
      <c r="J258" s="8" t="str">
        <f aca="true">IF(I258="","",TODAY()-I258)</f>
        <v/>
      </c>
      <c r="K258" s="5"/>
      <c r="L258" s="5"/>
    </row>
    <row r="259" customFormat="false" ht="15" hidden="false" customHeight="true" outlineLevel="0" collapsed="false">
      <c r="A259" s="5"/>
      <c r="B259" s="5"/>
      <c r="C259" s="5"/>
      <c r="D259" s="5"/>
      <c r="E259" s="5"/>
      <c r="F259" s="5"/>
      <c r="G259" s="5"/>
      <c r="H259" s="5"/>
      <c r="I259" s="7"/>
      <c r="J259" s="8" t="str">
        <f aca="true">IF(I259="","",TODAY()-I259)</f>
        <v/>
      </c>
      <c r="K259" s="5"/>
      <c r="L259" s="5"/>
    </row>
    <row r="260" customFormat="false" ht="15" hidden="false" customHeight="true" outlineLevel="0" collapsed="false">
      <c r="A260" s="5"/>
      <c r="B260" s="5"/>
      <c r="C260" s="5"/>
      <c r="D260" s="5"/>
      <c r="E260" s="5"/>
      <c r="F260" s="5"/>
      <c r="G260" s="5"/>
      <c r="H260" s="5"/>
      <c r="I260" s="7"/>
      <c r="J260" s="8" t="str">
        <f aca="true">IF(I260="","",TODAY()-I260)</f>
        <v/>
      </c>
      <c r="K260" s="5"/>
      <c r="L260" s="5"/>
    </row>
    <row r="261" customFormat="false" ht="15" hidden="false" customHeight="true" outlineLevel="0" collapsed="false">
      <c r="A261" s="5"/>
      <c r="B261" s="5"/>
      <c r="C261" s="5"/>
      <c r="D261" s="5"/>
      <c r="E261" s="5"/>
      <c r="F261" s="5"/>
      <c r="G261" s="5"/>
      <c r="H261" s="5"/>
      <c r="I261" s="7"/>
      <c r="J261" s="8" t="str">
        <f aca="true">IF(I261="","",TODAY()-I261)</f>
        <v/>
      </c>
      <c r="K261" s="5"/>
      <c r="L261" s="5"/>
    </row>
    <row r="262" customFormat="false" ht="15" hidden="false" customHeight="true" outlineLevel="0" collapsed="false">
      <c r="A262" s="5"/>
      <c r="B262" s="5"/>
      <c r="C262" s="5"/>
      <c r="D262" s="5"/>
      <c r="E262" s="5"/>
      <c r="F262" s="5"/>
      <c r="G262" s="5"/>
      <c r="H262" s="5"/>
      <c r="I262" s="7"/>
      <c r="J262" s="8" t="str">
        <f aca="true">IF(I262="","",TODAY()-I262)</f>
        <v/>
      </c>
      <c r="K262" s="5"/>
      <c r="L262" s="5"/>
    </row>
    <row r="263" customFormat="false" ht="15" hidden="false" customHeight="true" outlineLevel="0" collapsed="false">
      <c r="A263" s="5"/>
      <c r="B263" s="5"/>
      <c r="C263" s="5"/>
      <c r="D263" s="5"/>
      <c r="E263" s="5"/>
      <c r="F263" s="5"/>
      <c r="G263" s="5"/>
      <c r="H263" s="5"/>
      <c r="I263" s="7"/>
      <c r="J263" s="8" t="str">
        <f aca="true">IF(I263="","",TODAY()-I263)</f>
        <v/>
      </c>
      <c r="K263" s="5"/>
      <c r="L263" s="5"/>
    </row>
    <row r="264" customFormat="false" ht="15" hidden="false" customHeight="true" outlineLevel="0" collapsed="false">
      <c r="A264" s="5"/>
      <c r="B264" s="5"/>
      <c r="C264" s="5"/>
      <c r="D264" s="5"/>
      <c r="E264" s="5"/>
      <c r="F264" s="5"/>
      <c r="G264" s="5"/>
      <c r="H264" s="5"/>
      <c r="I264" s="7"/>
      <c r="J264" s="8" t="str">
        <f aca="true">IF(I264="","",TODAY()-I264)</f>
        <v/>
      </c>
      <c r="K264" s="5"/>
      <c r="L264" s="5"/>
    </row>
    <row r="265" customFormat="false" ht="15" hidden="false" customHeight="true" outlineLevel="0" collapsed="false">
      <c r="A265" s="5"/>
      <c r="B265" s="5"/>
      <c r="C265" s="5"/>
      <c r="D265" s="5"/>
      <c r="E265" s="5"/>
      <c r="F265" s="5"/>
      <c r="G265" s="5"/>
      <c r="H265" s="5"/>
      <c r="I265" s="7"/>
      <c r="J265" s="8" t="str">
        <f aca="true">IF(I265="","",TODAY()-I265)</f>
        <v/>
      </c>
      <c r="K265" s="5"/>
      <c r="L265" s="5"/>
    </row>
    <row r="266" customFormat="false" ht="15" hidden="false" customHeight="true" outlineLevel="0" collapsed="false">
      <c r="A266" s="5"/>
      <c r="B266" s="5"/>
      <c r="C266" s="5"/>
      <c r="D266" s="5"/>
      <c r="E266" s="5"/>
      <c r="F266" s="5"/>
      <c r="G266" s="5"/>
      <c r="H266" s="5"/>
      <c r="I266" s="7"/>
      <c r="J266" s="8" t="str">
        <f aca="true">IF(I266="","",TODAY()-I266)</f>
        <v/>
      </c>
      <c r="K266" s="5"/>
      <c r="L266" s="5"/>
    </row>
    <row r="267" customFormat="false" ht="15" hidden="false" customHeight="true" outlineLevel="0" collapsed="false">
      <c r="A267" s="5"/>
      <c r="B267" s="5"/>
      <c r="C267" s="5"/>
      <c r="D267" s="5"/>
      <c r="E267" s="5"/>
      <c r="F267" s="5"/>
      <c r="G267" s="5"/>
      <c r="H267" s="5"/>
      <c r="I267" s="7"/>
      <c r="J267" s="8" t="str">
        <f aca="true">IF(I267="","",TODAY()-I267)</f>
        <v/>
      </c>
      <c r="K267" s="5"/>
      <c r="L267" s="5"/>
    </row>
    <row r="268" customFormat="false" ht="15" hidden="false" customHeight="true" outlineLevel="0" collapsed="false">
      <c r="A268" s="5"/>
      <c r="B268" s="5"/>
      <c r="C268" s="5"/>
      <c r="D268" s="5"/>
      <c r="E268" s="5"/>
      <c r="F268" s="5"/>
      <c r="G268" s="5"/>
      <c r="H268" s="5"/>
      <c r="I268" s="7"/>
      <c r="J268" s="8" t="str">
        <f aca="true">IF(I268="","",TODAY()-I268)</f>
        <v/>
      </c>
      <c r="K268" s="5"/>
      <c r="L268" s="5"/>
    </row>
    <row r="269" customFormat="false" ht="15" hidden="false" customHeight="true" outlineLevel="0" collapsed="false">
      <c r="A269" s="5"/>
      <c r="B269" s="5"/>
      <c r="C269" s="5"/>
      <c r="D269" s="5"/>
      <c r="E269" s="5"/>
      <c r="F269" s="5"/>
      <c r="G269" s="5"/>
      <c r="H269" s="5"/>
      <c r="I269" s="7"/>
      <c r="J269" s="8" t="str">
        <f aca="true">IF(I269="","",TODAY()-I269)</f>
        <v/>
      </c>
      <c r="K269" s="5"/>
      <c r="L269" s="5"/>
    </row>
    <row r="270" customFormat="false" ht="15" hidden="false" customHeight="true" outlineLevel="0" collapsed="false">
      <c r="A270" s="5"/>
      <c r="B270" s="5"/>
      <c r="C270" s="5"/>
      <c r="D270" s="5"/>
      <c r="E270" s="5"/>
      <c r="F270" s="5"/>
      <c r="G270" s="5"/>
      <c r="H270" s="5"/>
      <c r="I270" s="7"/>
      <c r="J270" s="8" t="str">
        <f aca="true">IF(I270="","",TODAY()-I270)</f>
        <v/>
      </c>
      <c r="K270" s="5"/>
      <c r="L270" s="5"/>
    </row>
    <row r="271" customFormat="false" ht="15" hidden="false" customHeight="true" outlineLevel="0" collapsed="false">
      <c r="A271" s="5"/>
      <c r="B271" s="5"/>
      <c r="C271" s="5"/>
      <c r="D271" s="5"/>
      <c r="E271" s="5"/>
      <c r="F271" s="5"/>
      <c r="G271" s="5"/>
      <c r="H271" s="5"/>
      <c r="I271" s="7"/>
      <c r="J271" s="8" t="str">
        <f aca="true">IF(I271="","",TODAY()-I271)</f>
        <v/>
      </c>
      <c r="K271" s="5"/>
      <c r="L271" s="5"/>
    </row>
    <row r="272" customFormat="false" ht="15" hidden="false" customHeight="true" outlineLevel="0" collapsed="false">
      <c r="A272" s="5"/>
      <c r="B272" s="5"/>
      <c r="C272" s="5"/>
      <c r="D272" s="5"/>
      <c r="E272" s="5"/>
      <c r="F272" s="5"/>
      <c r="G272" s="5"/>
      <c r="H272" s="5"/>
      <c r="I272" s="7"/>
      <c r="J272" s="8" t="str">
        <f aca="true">IF(I272="","",TODAY()-I272)</f>
        <v/>
      </c>
      <c r="K272" s="5"/>
      <c r="L272" s="5"/>
    </row>
    <row r="273" customFormat="false" ht="15" hidden="false" customHeight="true" outlineLevel="0" collapsed="false">
      <c r="A273" s="5"/>
      <c r="B273" s="5"/>
      <c r="C273" s="5"/>
      <c r="D273" s="5"/>
      <c r="E273" s="5"/>
      <c r="F273" s="5"/>
      <c r="G273" s="5"/>
      <c r="H273" s="5"/>
      <c r="I273" s="7"/>
      <c r="J273" s="8" t="str">
        <f aca="true">IF(I273="","",TODAY()-I273)</f>
        <v/>
      </c>
      <c r="K273" s="5"/>
      <c r="L273" s="5"/>
    </row>
    <row r="274" customFormat="false" ht="15" hidden="false" customHeight="true" outlineLevel="0" collapsed="false">
      <c r="A274" s="5"/>
      <c r="B274" s="5"/>
      <c r="C274" s="5"/>
      <c r="D274" s="5"/>
      <c r="E274" s="5"/>
      <c r="F274" s="5"/>
      <c r="G274" s="5"/>
      <c r="H274" s="5"/>
      <c r="I274" s="7"/>
      <c r="J274" s="8" t="str">
        <f aca="true">IF(I274="","",TODAY()-I274)</f>
        <v/>
      </c>
      <c r="K274" s="5"/>
      <c r="L274" s="5"/>
    </row>
    <row r="275" customFormat="false" ht="15" hidden="false" customHeight="true" outlineLevel="0" collapsed="false">
      <c r="A275" s="5"/>
      <c r="B275" s="5"/>
      <c r="C275" s="5"/>
      <c r="D275" s="5"/>
      <c r="E275" s="5"/>
      <c r="F275" s="5"/>
      <c r="G275" s="5"/>
      <c r="H275" s="5"/>
      <c r="I275" s="7"/>
      <c r="J275" s="8" t="str">
        <f aca="true">IF(I275="","",TODAY()-I275)</f>
        <v/>
      </c>
      <c r="K275" s="5"/>
      <c r="L275" s="5"/>
    </row>
    <row r="276" customFormat="false" ht="15" hidden="false" customHeight="true" outlineLevel="0" collapsed="false">
      <c r="A276" s="5"/>
      <c r="B276" s="5"/>
      <c r="C276" s="5"/>
      <c r="D276" s="5"/>
      <c r="E276" s="5"/>
      <c r="F276" s="5"/>
      <c r="G276" s="5"/>
      <c r="H276" s="5"/>
      <c r="I276" s="7"/>
      <c r="J276" s="8" t="str">
        <f aca="true">IF(I276="","",TODAY()-I276)</f>
        <v/>
      </c>
      <c r="K276" s="5"/>
      <c r="L276" s="5"/>
    </row>
    <row r="277" customFormat="false" ht="15" hidden="false" customHeight="true" outlineLevel="0" collapsed="false">
      <c r="A277" s="5"/>
      <c r="B277" s="5"/>
      <c r="C277" s="5"/>
      <c r="D277" s="5"/>
      <c r="E277" s="5"/>
      <c r="F277" s="5"/>
      <c r="G277" s="5"/>
      <c r="H277" s="5"/>
      <c r="I277" s="7"/>
      <c r="J277" s="8" t="str">
        <f aca="true">IF(I277="","",TODAY()-I277)</f>
        <v/>
      </c>
      <c r="K277" s="5"/>
      <c r="L277" s="5"/>
    </row>
    <row r="278" customFormat="false" ht="15" hidden="false" customHeight="true" outlineLevel="0" collapsed="false">
      <c r="A278" s="5"/>
      <c r="B278" s="5"/>
      <c r="C278" s="5"/>
      <c r="D278" s="5"/>
      <c r="E278" s="5"/>
      <c r="F278" s="5"/>
      <c r="G278" s="5"/>
      <c r="H278" s="5"/>
      <c r="I278" s="7"/>
      <c r="J278" s="8" t="str">
        <f aca="true">IF(I278="","",TODAY()-I278)</f>
        <v/>
      </c>
      <c r="K278" s="5"/>
      <c r="L278" s="5"/>
    </row>
    <row r="279" customFormat="false" ht="15" hidden="false" customHeight="true" outlineLevel="0" collapsed="false">
      <c r="A279" s="5"/>
      <c r="B279" s="5"/>
      <c r="C279" s="5"/>
      <c r="D279" s="5"/>
      <c r="E279" s="5"/>
      <c r="F279" s="5"/>
      <c r="G279" s="5"/>
      <c r="H279" s="5"/>
      <c r="I279" s="7"/>
      <c r="J279" s="8" t="str">
        <f aca="true">IF(I279="","",TODAY()-I279)</f>
        <v/>
      </c>
      <c r="K279" s="5"/>
      <c r="L279" s="5"/>
    </row>
    <row r="280" customFormat="false" ht="15" hidden="false" customHeight="true" outlineLevel="0" collapsed="false">
      <c r="A280" s="5"/>
      <c r="B280" s="5"/>
      <c r="C280" s="5"/>
      <c r="D280" s="5"/>
      <c r="E280" s="5"/>
      <c r="F280" s="5"/>
      <c r="G280" s="5"/>
      <c r="H280" s="5"/>
      <c r="I280" s="7"/>
      <c r="J280" s="8" t="str">
        <f aca="true">IF(I280="","",TODAY()-I280)</f>
        <v/>
      </c>
      <c r="K280" s="5"/>
      <c r="L280" s="5"/>
    </row>
    <row r="281" customFormat="false" ht="15" hidden="false" customHeight="true" outlineLevel="0" collapsed="false">
      <c r="A281" s="5"/>
      <c r="B281" s="5"/>
      <c r="C281" s="5"/>
      <c r="D281" s="5"/>
      <c r="E281" s="5"/>
      <c r="F281" s="5"/>
      <c r="G281" s="5"/>
      <c r="H281" s="5"/>
      <c r="I281" s="7"/>
      <c r="J281" s="8" t="str">
        <f aca="true">IF(I281="","",TODAY()-I281)</f>
        <v/>
      </c>
      <c r="K281" s="5"/>
      <c r="L281" s="5"/>
    </row>
    <row r="282" customFormat="false" ht="15" hidden="false" customHeight="true" outlineLevel="0" collapsed="false">
      <c r="A282" s="5"/>
      <c r="B282" s="5"/>
      <c r="C282" s="5"/>
      <c r="D282" s="5"/>
      <c r="E282" s="5"/>
      <c r="F282" s="5"/>
      <c r="G282" s="5"/>
      <c r="H282" s="5"/>
      <c r="I282" s="7"/>
      <c r="J282" s="8" t="str">
        <f aca="true">IF(I282="","",TODAY()-I282)</f>
        <v/>
      </c>
      <c r="K282" s="5"/>
      <c r="L282" s="5"/>
    </row>
    <row r="283" customFormat="false" ht="15" hidden="false" customHeight="true" outlineLevel="0" collapsed="false">
      <c r="A283" s="5"/>
      <c r="B283" s="5"/>
      <c r="C283" s="5"/>
      <c r="D283" s="5"/>
      <c r="E283" s="5"/>
      <c r="F283" s="5"/>
      <c r="G283" s="5"/>
      <c r="H283" s="5"/>
      <c r="I283" s="7"/>
      <c r="J283" s="8" t="str">
        <f aca="true">IF(I283="","",TODAY()-I283)</f>
        <v/>
      </c>
      <c r="K283" s="5"/>
      <c r="L283" s="5"/>
    </row>
    <row r="284" customFormat="false" ht="15" hidden="false" customHeight="true" outlineLevel="0" collapsed="false">
      <c r="A284" s="5"/>
      <c r="B284" s="5"/>
      <c r="C284" s="5"/>
      <c r="D284" s="5"/>
      <c r="E284" s="5"/>
      <c r="F284" s="5"/>
      <c r="G284" s="5"/>
      <c r="H284" s="5"/>
      <c r="I284" s="7"/>
      <c r="J284" s="8" t="str">
        <f aca="true">IF(I284="","",TODAY()-I284)</f>
        <v/>
      </c>
      <c r="K284" s="5"/>
      <c r="L284" s="5"/>
    </row>
    <row r="285" customFormat="false" ht="15" hidden="false" customHeight="true" outlineLevel="0" collapsed="false">
      <c r="A285" s="5"/>
      <c r="B285" s="5"/>
      <c r="C285" s="5"/>
      <c r="D285" s="5"/>
      <c r="E285" s="5"/>
      <c r="F285" s="5"/>
      <c r="G285" s="5"/>
      <c r="H285" s="5"/>
      <c r="I285" s="7"/>
      <c r="J285" s="8" t="str">
        <f aca="true">IF(I285="","",TODAY()-I285)</f>
        <v/>
      </c>
      <c r="K285" s="5"/>
      <c r="L285" s="5"/>
    </row>
    <row r="286" customFormat="false" ht="15" hidden="false" customHeight="true" outlineLevel="0" collapsed="false">
      <c r="A286" s="5"/>
      <c r="B286" s="5"/>
      <c r="C286" s="5"/>
      <c r="D286" s="5"/>
      <c r="E286" s="5"/>
      <c r="F286" s="5"/>
      <c r="G286" s="5"/>
      <c r="H286" s="5"/>
      <c r="I286" s="7"/>
      <c r="J286" s="8" t="str">
        <f aca="true">IF(I286="","",TODAY()-I286)</f>
        <v/>
      </c>
      <c r="K286" s="5"/>
      <c r="L286" s="5"/>
    </row>
    <row r="287" customFormat="false" ht="15" hidden="false" customHeight="true" outlineLevel="0" collapsed="false">
      <c r="A287" s="5"/>
      <c r="B287" s="5"/>
      <c r="C287" s="5"/>
      <c r="D287" s="5"/>
      <c r="E287" s="5"/>
      <c r="F287" s="5"/>
      <c r="G287" s="5"/>
      <c r="H287" s="5"/>
      <c r="I287" s="7"/>
      <c r="J287" s="8" t="str">
        <f aca="true">IF(I287="","",TODAY()-I287)</f>
        <v/>
      </c>
      <c r="K287" s="5"/>
      <c r="L287" s="5"/>
    </row>
    <row r="288" customFormat="false" ht="15" hidden="false" customHeight="true" outlineLevel="0" collapsed="false">
      <c r="A288" s="5"/>
      <c r="B288" s="5"/>
      <c r="C288" s="5"/>
      <c r="D288" s="5"/>
      <c r="E288" s="5"/>
      <c r="F288" s="5"/>
      <c r="G288" s="5"/>
      <c r="H288" s="5"/>
      <c r="I288" s="7"/>
      <c r="J288" s="8" t="str">
        <f aca="true">IF(I288="","",TODAY()-I288)</f>
        <v/>
      </c>
      <c r="K288" s="5"/>
      <c r="L288" s="5"/>
    </row>
    <row r="289" customFormat="false" ht="15" hidden="false" customHeight="true" outlineLevel="0" collapsed="false">
      <c r="A289" s="5"/>
      <c r="B289" s="5"/>
      <c r="C289" s="5"/>
      <c r="D289" s="5"/>
      <c r="E289" s="5"/>
      <c r="F289" s="5"/>
      <c r="G289" s="5"/>
      <c r="H289" s="5"/>
      <c r="I289" s="7"/>
      <c r="J289" s="8" t="str">
        <f aca="true">IF(I289="","",TODAY()-I289)</f>
        <v/>
      </c>
      <c r="K289" s="5"/>
      <c r="L289" s="5"/>
    </row>
    <row r="290" customFormat="false" ht="15" hidden="false" customHeight="true" outlineLevel="0" collapsed="false">
      <c r="A290" s="5"/>
      <c r="B290" s="5"/>
      <c r="C290" s="5"/>
      <c r="D290" s="5"/>
      <c r="E290" s="5"/>
      <c r="F290" s="5"/>
      <c r="G290" s="5"/>
      <c r="H290" s="5"/>
      <c r="I290" s="7"/>
      <c r="J290" s="8" t="str">
        <f aca="true">IF(I290="","",TODAY()-I290)</f>
        <v/>
      </c>
      <c r="K290" s="5"/>
      <c r="L290" s="5"/>
    </row>
    <row r="291" customFormat="false" ht="15" hidden="false" customHeight="true" outlineLevel="0" collapsed="false">
      <c r="A291" s="5"/>
      <c r="B291" s="5"/>
      <c r="C291" s="5"/>
      <c r="D291" s="5"/>
      <c r="E291" s="5"/>
      <c r="F291" s="5"/>
      <c r="G291" s="5"/>
      <c r="H291" s="5"/>
      <c r="I291" s="7"/>
      <c r="J291" s="8" t="str">
        <f aca="true">IF(I291="","",TODAY()-I291)</f>
        <v/>
      </c>
      <c r="K291" s="5"/>
      <c r="L291" s="5"/>
    </row>
    <row r="292" customFormat="false" ht="15" hidden="false" customHeight="true" outlineLevel="0" collapsed="false">
      <c r="A292" s="5"/>
      <c r="B292" s="5"/>
      <c r="C292" s="5"/>
      <c r="D292" s="5"/>
      <c r="E292" s="5"/>
      <c r="F292" s="5"/>
      <c r="G292" s="5"/>
      <c r="H292" s="5"/>
      <c r="I292" s="7"/>
      <c r="J292" s="8" t="str">
        <f aca="true">IF(I292="","",TODAY()-I292)</f>
        <v/>
      </c>
      <c r="K292" s="5"/>
      <c r="L292" s="5"/>
    </row>
    <row r="293" customFormat="false" ht="15" hidden="false" customHeight="true" outlineLevel="0" collapsed="false">
      <c r="A293" s="5"/>
      <c r="B293" s="5"/>
      <c r="C293" s="5"/>
      <c r="D293" s="5"/>
      <c r="E293" s="5"/>
      <c r="F293" s="5"/>
      <c r="G293" s="5"/>
      <c r="H293" s="5"/>
      <c r="I293" s="7"/>
      <c r="J293" s="8" t="str">
        <f aca="true">IF(I293="","",TODAY()-I293)</f>
        <v/>
      </c>
      <c r="K293" s="5"/>
      <c r="L293" s="5"/>
    </row>
    <row r="294" customFormat="false" ht="15" hidden="false" customHeight="true" outlineLevel="0" collapsed="false">
      <c r="A294" s="5"/>
      <c r="B294" s="5"/>
      <c r="C294" s="5"/>
      <c r="D294" s="5"/>
      <c r="E294" s="5"/>
      <c r="F294" s="5"/>
      <c r="G294" s="5"/>
      <c r="H294" s="5"/>
      <c r="I294" s="7"/>
      <c r="J294" s="8" t="str">
        <f aca="true">IF(I294="","",TODAY()-I294)</f>
        <v/>
      </c>
      <c r="K294" s="5"/>
      <c r="L294" s="5"/>
    </row>
    <row r="295" customFormat="false" ht="15" hidden="false" customHeight="true" outlineLevel="0" collapsed="false">
      <c r="A295" s="5"/>
      <c r="B295" s="5"/>
      <c r="C295" s="5"/>
      <c r="D295" s="5"/>
      <c r="E295" s="5"/>
      <c r="F295" s="5"/>
      <c r="G295" s="5"/>
      <c r="H295" s="5"/>
      <c r="I295" s="7"/>
      <c r="J295" s="8" t="str">
        <f aca="true">IF(I295="","",TODAY()-I295)</f>
        <v/>
      </c>
      <c r="K295" s="5"/>
      <c r="L295" s="5"/>
    </row>
    <row r="296" customFormat="false" ht="15" hidden="false" customHeight="true" outlineLevel="0" collapsed="false">
      <c r="A296" s="5"/>
      <c r="B296" s="5"/>
      <c r="C296" s="5"/>
      <c r="D296" s="5"/>
      <c r="E296" s="5"/>
      <c r="F296" s="5"/>
      <c r="G296" s="5"/>
      <c r="H296" s="5"/>
      <c r="I296" s="7"/>
      <c r="J296" s="8" t="str">
        <f aca="true">IF(I296="","",TODAY()-I296)</f>
        <v/>
      </c>
      <c r="K296" s="5"/>
      <c r="L296" s="5"/>
    </row>
    <row r="297" customFormat="false" ht="15" hidden="false" customHeight="true" outlineLevel="0" collapsed="false">
      <c r="A297" s="5"/>
      <c r="B297" s="5"/>
      <c r="C297" s="5"/>
      <c r="D297" s="5"/>
      <c r="E297" s="5"/>
      <c r="F297" s="5"/>
      <c r="G297" s="5"/>
      <c r="H297" s="5"/>
      <c r="I297" s="7"/>
      <c r="J297" s="8" t="str">
        <f aca="true">IF(I297="","",TODAY()-I297)</f>
        <v/>
      </c>
      <c r="K297" s="5"/>
      <c r="L297" s="5"/>
    </row>
    <row r="298" customFormat="false" ht="15" hidden="false" customHeight="true" outlineLevel="0" collapsed="false">
      <c r="A298" s="5"/>
      <c r="B298" s="5"/>
      <c r="C298" s="5"/>
      <c r="D298" s="5"/>
      <c r="E298" s="5"/>
      <c r="F298" s="5"/>
      <c r="G298" s="5"/>
      <c r="H298" s="5"/>
      <c r="I298" s="7"/>
      <c r="J298" s="8" t="str">
        <f aca="true">IF(I298="","",TODAY()-I298)</f>
        <v/>
      </c>
      <c r="K298" s="5"/>
      <c r="L298" s="5"/>
    </row>
    <row r="299" customFormat="false" ht="15" hidden="false" customHeight="true" outlineLevel="0" collapsed="false">
      <c r="A299" s="5"/>
      <c r="B299" s="5"/>
      <c r="C299" s="5"/>
      <c r="D299" s="5"/>
      <c r="E299" s="5"/>
      <c r="F299" s="5"/>
      <c r="G299" s="5"/>
      <c r="H299" s="5"/>
      <c r="I299" s="7"/>
      <c r="J299" s="8" t="str">
        <f aca="true">IF(I299="","",TODAY()-I299)</f>
        <v/>
      </c>
      <c r="K299" s="5"/>
      <c r="L299" s="5"/>
    </row>
    <row r="300" customFormat="false" ht="15" hidden="false" customHeight="true" outlineLevel="0" collapsed="false">
      <c r="A300" s="5"/>
      <c r="B300" s="5"/>
      <c r="C300" s="5"/>
      <c r="D300" s="5"/>
      <c r="E300" s="5"/>
      <c r="F300" s="5"/>
      <c r="G300" s="5"/>
      <c r="H300" s="5"/>
      <c r="I300" s="7"/>
      <c r="J300" s="8" t="str">
        <f aca="true">IF(I300="","",TODAY()-I300)</f>
        <v/>
      </c>
      <c r="K300" s="5"/>
      <c r="L300" s="5"/>
    </row>
    <row r="301" customFormat="false" ht="15" hidden="false" customHeight="true" outlineLevel="0" collapsed="false">
      <c r="A301" s="5"/>
      <c r="B301" s="5"/>
      <c r="C301" s="5"/>
      <c r="D301" s="5"/>
      <c r="E301" s="5"/>
      <c r="F301" s="5"/>
      <c r="G301" s="5"/>
      <c r="H301" s="5"/>
      <c r="I301" s="7"/>
      <c r="J301" s="8" t="str">
        <f aca="true">IF(I301="","",TODAY()-I301)</f>
        <v/>
      </c>
      <c r="K301" s="5"/>
      <c r="L301" s="5"/>
    </row>
    <row r="302" customFormat="false" ht="15" hidden="false" customHeight="true" outlineLevel="0" collapsed="false">
      <c r="A302" s="5"/>
      <c r="B302" s="5"/>
      <c r="C302" s="5"/>
      <c r="D302" s="5"/>
      <c r="E302" s="5"/>
      <c r="F302" s="5"/>
      <c r="G302" s="5"/>
      <c r="H302" s="5"/>
      <c r="I302" s="7"/>
      <c r="J302" s="8" t="str">
        <f aca="true">IF(I302="","",TODAY()-I302)</f>
        <v/>
      </c>
      <c r="K302" s="5"/>
      <c r="L302" s="5"/>
    </row>
    <row r="303" customFormat="false" ht="15" hidden="false" customHeight="true" outlineLevel="0" collapsed="false">
      <c r="A303" s="5"/>
      <c r="B303" s="5"/>
      <c r="C303" s="5"/>
      <c r="D303" s="5"/>
      <c r="E303" s="5"/>
      <c r="F303" s="5"/>
      <c r="G303" s="5"/>
      <c r="H303" s="5"/>
      <c r="I303" s="7"/>
      <c r="J303" s="8" t="str">
        <f aca="true">IF(I303="","",TODAY()-I303)</f>
        <v/>
      </c>
      <c r="K303" s="5"/>
      <c r="L303" s="5"/>
    </row>
    <row r="304" customFormat="false" ht="15" hidden="false" customHeight="true" outlineLevel="0" collapsed="false">
      <c r="A304" s="5"/>
      <c r="B304" s="5"/>
      <c r="C304" s="5"/>
      <c r="D304" s="5"/>
      <c r="E304" s="5"/>
      <c r="F304" s="5"/>
      <c r="G304" s="5"/>
      <c r="H304" s="5"/>
      <c r="I304" s="7"/>
      <c r="J304" s="8" t="str">
        <f aca="true">IF(I304="","",TODAY()-I304)</f>
        <v/>
      </c>
      <c r="K304" s="5"/>
      <c r="L304" s="5"/>
    </row>
    <row r="305" customFormat="false" ht="15" hidden="false" customHeight="true" outlineLevel="0" collapsed="false">
      <c r="A305" s="5"/>
      <c r="B305" s="5"/>
      <c r="C305" s="5"/>
      <c r="D305" s="5"/>
      <c r="E305" s="5"/>
      <c r="F305" s="5"/>
      <c r="G305" s="5"/>
      <c r="H305" s="5"/>
      <c r="I305" s="7"/>
      <c r="J305" s="8" t="str">
        <f aca="true">IF(I305="","",TODAY()-I305)</f>
        <v/>
      </c>
      <c r="K305" s="5"/>
      <c r="L305" s="5"/>
    </row>
    <row r="306" customFormat="false" ht="15" hidden="false" customHeight="true" outlineLevel="0" collapsed="false">
      <c r="A306" s="5"/>
      <c r="B306" s="5"/>
      <c r="C306" s="5"/>
      <c r="D306" s="5"/>
      <c r="E306" s="5"/>
      <c r="F306" s="5"/>
      <c r="G306" s="5"/>
      <c r="H306" s="5"/>
      <c r="I306" s="7"/>
      <c r="J306" s="8" t="str">
        <f aca="true">IF(I306="","",TODAY()-I306)</f>
        <v/>
      </c>
      <c r="K306" s="5"/>
      <c r="L306" s="5"/>
    </row>
    <row r="307" customFormat="false" ht="15" hidden="false" customHeight="true" outlineLevel="0" collapsed="false">
      <c r="A307" s="5"/>
      <c r="B307" s="5"/>
      <c r="C307" s="5"/>
      <c r="D307" s="5"/>
      <c r="E307" s="5"/>
      <c r="F307" s="5"/>
      <c r="G307" s="5"/>
      <c r="H307" s="5"/>
      <c r="I307" s="7"/>
      <c r="J307" s="8" t="str">
        <f aca="true">IF(I307="","",TODAY()-I307)</f>
        <v/>
      </c>
      <c r="K307" s="5"/>
      <c r="L307" s="5"/>
    </row>
    <row r="308" customFormat="false" ht="15" hidden="false" customHeight="true" outlineLevel="0" collapsed="false">
      <c r="A308" s="5"/>
      <c r="B308" s="5"/>
      <c r="C308" s="5"/>
      <c r="D308" s="5"/>
      <c r="E308" s="5"/>
      <c r="F308" s="5"/>
      <c r="G308" s="5"/>
      <c r="H308" s="5"/>
      <c r="I308" s="7"/>
      <c r="J308" s="8" t="str">
        <f aca="true">IF(I308="","",TODAY()-I308)</f>
        <v/>
      </c>
      <c r="K308" s="5"/>
      <c r="L308" s="5"/>
    </row>
    <row r="309" customFormat="false" ht="15" hidden="false" customHeight="true" outlineLevel="0" collapsed="false">
      <c r="A309" s="5"/>
      <c r="B309" s="5"/>
      <c r="C309" s="5"/>
      <c r="D309" s="5"/>
      <c r="E309" s="5"/>
      <c r="F309" s="5"/>
      <c r="G309" s="5"/>
      <c r="H309" s="5"/>
      <c r="I309" s="7"/>
      <c r="J309" s="8" t="str">
        <f aca="true">IF(I309="","",TODAY()-I309)</f>
        <v/>
      </c>
      <c r="K309" s="5"/>
      <c r="L309" s="5"/>
    </row>
    <row r="310" customFormat="false" ht="15" hidden="false" customHeight="true" outlineLevel="0" collapsed="false">
      <c r="A310" s="5"/>
      <c r="B310" s="5"/>
      <c r="C310" s="5"/>
      <c r="D310" s="5"/>
      <c r="E310" s="5"/>
      <c r="F310" s="5"/>
      <c r="G310" s="5"/>
      <c r="H310" s="5"/>
      <c r="I310" s="7"/>
      <c r="J310" s="8" t="str">
        <f aca="true">IF(I310="","",TODAY()-I310)</f>
        <v/>
      </c>
      <c r="K310" s="5"/>
      <c r="L310" s="5"/>
    </row>
    <row r="311" customFormat="false" ht="15" hidden="false" customHeight="true" outlineLevel="0" collapsed="false">
      <c r="A311" s="5"/>
      <c r="B311" s="5"/>
      <c r="C311" s="5"/>
      <c r="D311" s="5"/>
      <c r="E311" s="5"/>
      <c r="F311" s="5"/>
      <c r="G311" s="5"/>
      <c r="H311" s="5"/>
      <c r="I311" s="7"/>
      <c r="J311" s="8" t="str">
        <f aca="true">IF(I311="","",TODAY()-I311)</f>
        <v/>
      </c>
      <c r="K311" s="5"/>
      <c r="L311" s="5"/>
    </row>
    <row r="312" customFormat="false" ht="15" hidden="false" customHeight="true" outlineLevel="0" collapsed="false">
      <c r="A312" s="5"/>
      <c r="B312" s="5"/>
      <c r="C312" s="5"/>
      <c r="D312" s="5"/>
      <c r="E312" s="5"/>
      <c r="F312" s="5"/>
      <c r="G312" s="5"/>
      <c r="H312" s="5"/>
      <c r="I312" s="7"/>
      <c r="J312" s="8" t="str">
        <f aca="true">IF(I312="","",TODAY()-I312)</f>
        <v/>
      </c>
      <c r="K312" s="5"/>
      <c r="L312" s="5"/>
    </row>
  </sheetData>
  <dataValidations count="4">
    <dataValidation allowBlank="true" errorStyle="stop" operator="between" showDropDown="false" showErrorMessage="false" showInputMessage="false" sqref="D2:D312" type="list">
      <formula1>LISTAS!$D$2:$D$3</formula1>
      <formula2>0</formula2>
    </dataValidation>
    <dataValidation allowBlank="true" errorStyle="stop" operator="between" showDropDown="false" showErrorMessage="false" showInputMessage="false" sqref="E2:E312" type="list">
      <formula1>LISTAS!$E$2:$E$3</formula1>
      <formula2>0</formula2>
    </dataValidation>
    <dataValidation allowBlank="true" errorStyle="stop" operator="between" showDropDown="false" showErrorMessage="false" showInputMessage="false" sqref="G2:G312" type="list">
      <formula1>LISTAS!$F$2:$F$4</formula1>
      <formula2>0</formula2>
    </dataValidation>
    <dataValidation allowBlank="true" errorStyle="stop" operator="between" showDropDown="false" showErrorMessage="false" showInputMessage="false" sqref="H2:H312" type="list">
      <formula1>LISTAS!$G$2:$G$7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8"/>
    <col collapsed="false" customWidth="true" hidden="false" outlineLevel="0" max="3" min="3" style="1" width="9"/>
    <col collapsed="false" customWidth="true" hidden="false" outlineLevel="0" max="8" min="4" style="1" width="8"/>
    <col collapsed="false" customWidth="true" hidden="false" outlineLevel="0" max="9" min="9" style="1" width="11"/>
    <col collapsed="false" customWidth="true" hidden="false" outlineLevel="0" max="12" min="10" style="1" width="16"/>
    <col collapsed="false" customWidth="true" hidden="false" outlineLevel="0" max="18" min="13" style="1" width="18"/>
    <col collapsed="false" customWidth="true" hidden="false" outlineLevel="0" max="20" min="19" style="1" width="12"/>
  </cols>
  <sheetData>
    <row r="1" customFormat="false" ht="23.25" hidden="false" customHeight="true" outlineLevel="0" collapsed="false">
      <c r="A1" s="4" t="s">
        <v>12</v>
      </c>
      <c r="B1" s="4" t="s">
        <v>14</v>
      </c>
      <c r="C1" s="4" t="s">
        <v>21</v>
      </c>
      <c r="D1" s="4" t="s">
        <v>2306</v>
      </c>
      <c r="E1" s="4" t="s">
        <v>2307</v>
      </c>
      <c r="F1" s="4" t="s">
        <v>2308</v>
      </c>
      <c r="G1" s="4" t="s">
        <v>2309</v>
      </c>
      <c r="H1" s="4" t="s">
        <v>2310</v>
      </c>
      <c r="I1" s="4" t="s">
        <v>2311</v>
      </c>
      <c r="J1" s="4" t="s">
        <v>2312</v>
      </c>
      <c r="K1" s="4" t="s">
        <v>2313</v>
      </c>
      <c r="L1" s="4" t="s">
        <v>2314</v>
      </c>
      <c r="M1" s="4" t="s">
        <v>2315</v>
      </c>
      <c r="N1" s="4" t="s">
        <v>2316</v>
      </c>
      <c r="O1" s="4" t="s">
        <v>2317</v>
      </c>
      <c r="P1" s="4" t="s">
        <v>2318</v>
      </c>
      <c r="Q1" s="4" t="s">
        <v>2319</v>
      </c>
      <c r="R1" s="4" t="s">
        <v>2320</v>
      </c>
      <c r="S1" s="4" t="s">
        <v>2321</v>
      </c>
      <c r="T1" s="4" t="s">
        <v>2322</v>
      </c>
    </row>
    <row r="2" customFormat="false" ht="23.25" hidden="false" customHeight="true" outlineLevel="0" collapsed="false">
      <c r="A2" s="5" t="s">
        <v>1012</v>
      </c>
      <c r="B2" s="5" t="s">
        <v>1013</v>
      </c>
      <c r="C2" s="5" t="s">
        <v>619</v>
      </c>
      <c r="D2" s="5"/>
      <c r="E2" s="5" t="n">
        <v>2</v>
      </c>
      <c r="F2" s="5" t="n">
        <v>8</v>
      </c>
      <c r="G2" s="5"/>
      <c r="H2" s="5"/>
      <c r="I2" s="5" t="n">
        <v>10</v>
      </c>
      <c r="J2" s="6" t="n">
        <v>42900</v>
      </c>
      <c r="K2" s="6" t="n">
        <v>0</v>
      </c>
      <c r="L2" s="6" t="n">
        <v>0</v>
      </c>
      <c r="M2" s="6" t="n">
        <v>8631.48</v>
      </c>
      <c r="N2" s="6" t="n">
        <v>51531.48</v>
      </c>
      <c r="O2" s="5" t="s">
        <v>2323</v>
      </c>
      <c r="P2" s="5" t="s">
        <v>2323</v>
      </c>
      <c r="Q2" s="5" t="s">
        <v>2323</v>
      </c>
      <c r="R2" s="5" t="s">
        <v>2324</v>
      </c>
      <c r="S2" s="9" t="n">
        <v>45880</v>
      </c>
      <c r="T2" s="9" t="n">
        <v>45883</v>
      </c>
    </row>
    <row r="3" customFormat="false" ht="23.25" hidden="false" customHeight="true" outlineLevel="0" collapsed="false">
      <c r="A3" s="5" t="s">
        <v>940</v>
      </c>
      <c r="B3" s="5" t="s">
        <v>941</v>
      </c>
      <c r="C3" s="5" t="s">
        <v>619</v>
      </c>
      <c r="D3" s="5"/>
      <c r="E3" s="5" t="n">
        <v>1</v>
      </c>
      <c r="F3" s="5" t="n">
        <v>4</v>
      </c>
      <c r="G3" s="5" t="n">
        <v>1</v>
      </c>
      <c r="H3" s="5"/>
      <c r="I3" s="5" t="n">
        <v>6</v>
      </c>
      <c r="J3" s="6" t="n">
        <v>29448</v>
      </c>
      <c r="K3" s="6" t="n">
        <v>0</v>
      </c>
      <c r="L3" s="6" t="n">
        <v>39413.2</v>
      </c>
      <c r="M3" s="6" t="n">
        <v>10139.2</v>
      </c>
      <c r="N3" s="6" t="n">
        <v>79000.4</v>
      </c>
      <c r="O3" s="5" t="s">
        <v>2323</v>
      </c>
      <c r="P3" s="5" t="s">
        <v>2323</v>
      </c>
      <c r="Q3" s="5" t="s">
        <v>2323</v>
      </c>
      <c r="R3" s="5" t="s">
        <v>2325</v>
      </c>
      <c r="S3" s="9" t="n">
        <v>45882</v>
      </c>
      <c r="T3" s="9" t="n">
        <v>45891</v>
      </c>
    </row>
    <row r="4" customFormat="false" ht="23.25" hidden="false" customHeight="true" outlineLevel="0" collapsed="false">
      <c r="A4" s="5" t="s">
        <v>885</v>
      </c>
      <c r="B4" s="5" t="s">
        <v>886</v>
      </c>
      <c r="C4" s="5" t="s">
        <v>619</v>
      </c>
      <c r="D4" s="5"/>
      <c r="E4" s="5" t="n">
        <v>1</v>
      </c>
      <c r="F4" s="5" t="n">
        <v>8</v>
      </c>
      <c r="G4" s="5" t="n">
        <v>1</v>
      </c>
      <c r="H4" s="5" t="n">
        <v>1</v>
      </c>
      <c r="I4" s="5" t="n">
        <v>11</v>
      </c>
      <c r="J4" s="6" t="n">
        <v>56904</v>
      </c>
      <c r="K4" s="6" t="n">
        <v>0</v>
      </c>
      <c r="L4" s="6" t="n">
        <v>13358.72</v>
      </c>
      <c r="M4" s="6" t="n">
        <v>38111.4</v>
      </c>
      <c r="N4" s="6" t="n">
        <v>108374.12</v>
      </c>
      <c r="O4" s="5" t="s">
        <v>2323</v>
      </c>
      <c r="P4" s="5" t="s">
        <v>2323</v>
      </c>
      <c r="Q4" s="5" t="s">
        <v>2323</v>
      </c>
      <c r="R4" s="5" t="s">
        <v>2325</v>
      </c>
      <c r="S4" s="9" t="n">
        <v>45882</v>
      </c>
      <c r="T4" s="9" t="n">
        <v>45892</v>
      </c>
    </row>
    <row r="5" customFormat="false" ht="23.25" hidden="false" customHeight="true" outlineLevel="0" collapsed="false">
      <c r="A5" s="5" t="s">
        <v>1094</v>
      </c>
      <c r="B5" s="5" t="s">
        <v>1095</v>
      </c>
      <c r="C5" s="5" t="s">
        <v>619</v>
      </c>
      <c r="D5" s="5"/>
      <c r="E5" s="5" t="n">
        <v>2</v>
      </c>
      <c r="F5" s="5" t="n">
        <v>5</v>
      </c>
      <c r="G5" s="5"/>
      <c r="H5" s="5"/>
      <c r="I5" s="5" t="n">
        <v>7</v>
      </c>
      <c r="J5" s="6" t="n">
        <v>29400</v>
      </c>
      <c r="K5" s="6" t="n">
        <v>0</v>
      </c>
      <c r="L5" s="6" t="n">
        <v>0</v>
      </c>
      <c r="M5" s="6" t="n">
        <v>11496.93</v>
      </c>
      <c r="N5" s="6" t="n">
        <v>40896.93</v>
      </c>
      <c r="O5" s="5" t="s">
        <v>2323</v>
      </c>
      <c r="P5" s="5" t="s">
        <v>2323</v>
      </c>
      <c r="Q5" s="5" t="s">
        <v>2323</v>
      </c>
      <c r="R5" s="5" t="s">
        <v>2325</v>
      </c>
      <c r="S5" s="9" t="n">
        <v>45869</v>
      </c>
      <c r="T5" s="9" t="n">
        <v>45902</v>
      </c>
    </row>
    <row r="6" customFormat="false" ht="23.25" hidden="false" customHeight="true" outlineLevel="0" collapsed="false">
      <c r="A6" s="5" t="s">
        <v>891</v>
      </c>
      <c r="B6" s="5" t="s">
        <v>892</v>
      </c>
      <c r="C6" s="5" t="s">
        <v>619</v>
      </c>
      <c r="D6" s="5"/>
      <c r="E6" s="5"/>
      <c r="F6" s="5"/>
      <c r="G6" s="5" t="n">
        <v>6</v>
      </c>
      <c r="H6" s="5"/>
      <c r="I6" s="5" t="n">
        <v>6</v>
      </c>
      <c r="J6" s="6" t="n">
        <v>47988</v>
      </c>
      <c r="K6" s="6" t="n">
        <v>0</v>
      </c>
      <c r="L6" s="6" t="n">
        <v>6778.28</v>
      </c>
      <c r="M6" s="6" t="n">
        <v>13924.18</v>
      </c>
      <c r="N6" s="6" t="n">
        <v>68690.46</v>
      </c>
      <c r="O6" s="5" t="s">
        <v>2323</v>
      </c>
      <c r="P6" s="5" t="s">
        <v>2323</v>
      </c>
      <c r="Q6" s="5" t="s">
        <v>2323</v>
      </c>
      <c r="R6" s="5" t="s">
        <v>2325</v>
      </c>
      <c r="S6" s="9" t="n">
        <v>45889</v>
      </c>
      <c r="T6" s="9" t="n">
        <v>45903</v>
      </c>
    </row>
    <row r="7" customFormat="false" ht="23.25" hidden="false" customHeight="true" outlineLevel="0" collapsed="false">
      <c r="A7" s="5" t="s">
        <v>974</v>
      </c>
      <c r="B7" s="5" t="s">
        <v>975</v>
      </c>
      <c r="C7" s="5" t="s">
        <v>619</v>
      </c>
      <c r="D7" s="5"/>
      <c r="E7" s="5"/>
      <c r="F7" s="5" t="n">
        <v>10</v>
      </c>
      <c r="G7" s="5" t="n">
        <v>1</v>
      </c>
      <c r="H7" s="5"/>
      <c r="I7" s="5" t="n">
        <v>11</v>
      </c>
      <c r="J7" s="6" t="n">
        <v>52998</v>
      </c>
      <c r="K7" s="6" t="n">
        <v>19362.65</v>
      </c>
      <c r="L7" s="6" t="n">
        <v>19264.33</v>
      </c>
      <c r="M7" s="6" t="n">
        <v>0</v>
      </c>
      <c r="N7" s="6" t="n">
        <v>91624.98</v>
      </c>
      <c r="O7" s="5" t="s">
        <v>2323</v>
      </c>
      <c r="P7" s="5" t="s">
        <v>2323</v>
      </c>
      <c r="Q7" s="5" t="s">
        <v>2323</v>
      </c>
      <c r="R7" s="5" t="s">
        <v>2326</v>
      </c>
      <c r="S7" s="9" t="n">
        <v>45898</v>
      </c>
      <c r="T7" s="9" t="n">
        <v>45904</v>
      </c>
    </row>
    <row r="8" customFormat="false" ht="23.25" hidden="false" customHeight="true" outlineLevel="0" collapsed="false">
      <c r="A8" s="5" t="s">
        <v>1364</v>
      </c>
      <c r="B8" s="5" t="s">
        <v>1365</v>
      </c>
      <c r="C8" s="5" t="s">
        <v>619</v>
      </c>
      <c r="D8" s="5"/>
      <c r="E8" s="5" t="n">
        <v>2</v>
      </c>
      <c r="F8" s="5" t="n">
        <v>8</v>
      </c>
      <c r="G8" s="5"/>
      <c r="H8" s="5"/>
      <c r="I8" s="5" t="n">
        <v>10</v>
      </c>
      <c r="J8" s="6" t="n">
        <v>42900</v>
      </c>
      <c r="K8" s="6" t="n">
        <v>0</v>
      </c>
      <c r="L8" s="6" t="n">
        <v>0</v>
      </c>
      <c r="M8" s="6" t="n">
        <v>19640.45</v>
      </c>
      <c r="N8" s="6" t="n">
        <v>62540.45</v>
      </c>
      <c r="O8" s="5" t="s">
        <v>2323</v>
      </c>
      <c r="P8" s="5" t="s">
        <v>2323</v>
      </c>
      <c r="Q8" s="5" t="s">
        <v>2323</v>
      </c>
      <c r="R8" s="5" t="s">
        <v>2324</v>
      </c>
      <c r="S8" s="9" t="n">
        <v>45875</v>
      </c>
      <c r="T8" s="9" t="n">
        <v>45922</v>
      </c>
    </row>
    <row r="9" customFormat="false" ht="23.25" hidden="false" customHeight="true" outlineLevel="0" collapsed="false">
      <c r="A9" s="5" t="s">
        <v>978</v>
      </c>
      <c r="B9" s="5" t="s">
        <v>979</v>
      </c>
      <c r="C9" s="5" t="s">
        <v>619</v>
      </c>
      <c r="D9" s="5"/>
      <c r="E9" s="5"/>
      <c r="F9" s="5" t="n">
        <v>9</v>
      </c>
      <c r="G9" s="5" t="n">
        <v>1</v>
      </c>
      <c r="H9" s="5"/>
      <c r="I9" s="5" t="n">
        <v>10</v>
      </c>
      <c r="J9" s="6" t="n">
        <v>48498</v>
      </c>
      <c r="K9" s="6" t="n">
        <v>0</v>
      </c>
      <c r="L9" s="6" t="n">
        <v>0</v>
      </c>
      <c r="M9" s="6" t="n">
        <v>15127.86</v>
      </c>
      <c r="N9" s="6" t="n">
        <v>63625.86</v>
      </c>
      <c r="O9" s="5" t="s">
        <v>2323</v>
      </c>
      <c r="P9" s="5" t="s">
        <v>2323</v>
      </c>
      <c r="Q9" s="5" t="s">
        <v>2323</v>
      </c>
      <c r="R9" s="5" t="s">
        <v>2324</v>
      </c>
      <c r="S9" s="9" t="n">
        <v>45895</v>
      </c>
      <c r="T9" s="9" t="n">
        <v>45922</v>
      </c>
    </row>
    <row r="10" customFormat="false" ht="23.25" hidden="false" customHeight="true" outlineLevel="0" collapsed="false">
      <c r="A10" s="5" t="s">
        <v>1020</v>
      </c>
      <c r="B10" s="5" t="s">
        <v>1021</v>
      </c>
      <c r="C10" s="5" t="s">
        <v>619</v>
      </c>
      <c r="D10" s="5"/>
      <c r="E10" s="5" t="n">
        <v>3</v>
      </c>
      <c r="F10" s="5" t="n">
        <v>7</v>
      </c>
      <c r="G10" s="5" t="n">
        <v>1</v>
      </c>
      <c r="H10" s="5"/>
      <c r="I10" s="5" t="n">
        <v>11</v>
      </c>
      <c r="J10" s="6" t="n">
        <v>49848</v>
      </c>
      <c r="K10" s="6" t="n">
        <v>16693.59</v>
      </c>
      <c r="L10" s="6" t="n">
        <v>0</v>
      </c>
      <c r="M10" s="6" t="n">
        <v>17381.01</v>
      </c>
      <c r="N10" s="6" t="n">
        <v>83922.6</v>
      </c>
      <c r="O10" s="5" t="s">
        <v>2323</v>
      </c>
      <c r="P10" s="5" t="s">
        <v>2323</v>
      </c>
      <c r="Q10" s="5" t="s">
        <v>2323</v>
      </c>
      <c r="R10" s="5" t="s">
        <v>2324</v>
      </c>
      <c r="S10" s="9" t="n">
        <v>45919</v>
      </c>
      <c r="T10" s="9" t="n">
        <v>45926</v>
      </c>
    </row>
    <row r="11" customFormat="false" ht="23.25" hidden="false" customHeight="true" outlineLevel="0" collapsed="false">
      <c r="A11" s="5" t="s">
        <v>991</v>
      </c>
      <c r="B11" s="5" t="s">
        <v>992</v>
      </c>
      <c r="C11" s="5" t="s">
        <v>619</v>
      </c>
      <c r="D11" s="5"/>
      <c r="E11" s="5" t="n">
        <v>2</v>
      </c>
      <c r="F11" s="5" t="n">
        <v>10</v>
      </c>
      <c r="G11" s="5"/>
      <c r="H11" s="5"/>
      <c r="I11" s="5" t="n">
        <v>12</v>
      </c>
      <c r="J11" s="6" t="n">
        <v>51900</v>
      </c>
      <c r="K11" s="6" t="n">
        <v>0</v>
      </c>
      <c r="L11" s="6" t="n">
        <v>0</v>
      </c>
      <c r="M11" s="6" t="n">
        <v>17365.66</v>
      </c>
      <c r="N11" s="6" t="n">
        <v>69265.66</v>
      </c>
      <c r="O11" s="5" t="s">
        <v>2323</v>
      </c>
      <c r="P11" s="5" t="s">
        <v>2323</v>
      </c>
      <c r="Q11" s="5" t="s">
        <v>2323</v>
      </c>
      <c r="R11" s="5" t="s">
        <v>2326</v>
      </c>
      <c r="S11" s="9" t="n">
        <v>45930</v>
      </c>
      <c r="T11" s="9" t="n">
        <v>45933</v>
      </c>
    </row>
    <row r="12" customFormat="false" ht="23.25" hidden="false" customHeight="true" outlineLevel="0" collapsed="false">
      <c r="A12" s="5" t="s">
        <v>995</v>
      </c>
      <c r="B12" s="5" t="s">
        <v>996</v>
      </c>
      <c r="C12" s="5" t="s">
        <v>619</v>
      </c>
      <c r="D12" s="5"/>
      <c r="E12" s="5" t="n">
        <v>2</v>
      </c>
      <c r="F12" s="5" t="n">
        <v>8</v>
      </c>
      <c r="G12" s="5" t="n">
        <v>1</v>
      </c>
      <c r="H12" s="5"/>
      <c r="I12" s="5" t="n">
        <v>11</v>
      </c>
      <c r="J12" s="6" t="n">
        <v>50898</v>
      </c>
      <c r="K12" s="6" t="n">
        <v>6897.81</v>
      </c>
      <c r="L12" s="6" t="n">
        <v>0</v>
      </c>
      <c r="M12" s="6" t="n">
        <v>16044.86</v>
      </c>
      <c r="N12" s="6" t="n">
        <v>73840.67</v>
      </c>
      <c r="O12" s="5" t="s">
        <v>2323</v>
      </c>
      <c r="P12" s="5" t="s">
        <v>2323</v>
      </c>
      <c r="Q12" s="5" t="s">
        <v>2323</v>
      </c>
      <c r="R12" s="5" t="s">
        <v>2326</v>
      </c>
      <c r="S12" s="9" t="n">
        <v>45947</v>
      </c>
      <c r="T12" s="9" t="n">
        <v>45948</v>
      </c>
    </row>
    <row r="13" customFormat="false" ht="23.25" hidden="false" customHeight="true" outlineLevel="0" collapsed="false">
      <c r="A13" s="5" t="s">
        <v>1136</v>
      </c>
      <c r="B13" s="5" t="s">
        <v>1137</v>
      </c>
      <c r="C13" s="5" t="s">
        <v>619</v>
      </c>
      <c r="D13" s="5"/>
      <c r="E13" s="5" t="n">
        <v>2</v>
      </c>
      <c r="F13" s="5" t="n">
        <v>8</v>
      </c>
      <c r="G13" s="5"/>
      <c r="H13" s="5"/>
      <c r="I13" s="5" t="n">
        <v>10</v>
      </c>
      <c r="J13" s="6" t="n">
        <v>42900</v>
      </c>
      <c r="K13" s="6" t="n">
        <v>6564.14</v>
      </c>
      <c r="L13" s="6" t="n">
        <v>0</v>
      </c>
      <c r="M13" s="6" t="n">
        <v>0</v>
      </c>
      <c r="N13" s="6" t="n">
        <v>49464.14</v>
      </c>
      <c r="O13" s="5" t="s">
        <v>2323</v>
      </c>
      <c r="P13" s="5" t="s">
        <v>2323</v>
      </c>
      <c r="Q13" s="5" t="s">
        <v>2323</v>
      </c>
      <c r="R13" s="5" t="s">
        <v>2325</v>
      </c>
      <c r="S13" s="9" t="n">
        <v>45931</v>
      </c>
      <c r="T13" s="9" t="n">
        <v>45950</v>
      </c>
    </row>
    <row r="14" customFormat="false" ht="23.25" hidden="false" customHeight="true" outlineLevel="0" collapsed="false">
      <c r="A14" s="5" t="s">
        <v>1144</v>
      </c>
      <c r="B14" s="5" t="s">
        <v>1145</v>
      </c>
      <c r="C14" s="5" t="s">
        <v>619</v>
      </c>
      <c r="D14" s="5"/>
      <c r="E14" s="5" t="n">
        <v>2</v>
      </c>
      <c r="F14" s="5" t="n">
        <v>8</v>
      </c>
      <c r="G14" s="5"/>
      <c r="H14" s="5"/>
      <c r="I14" s="5" t="n">
        <v>10</v>
      </c>
      <c r="J14" s="6" t="n">
        <v>42900</v>
      </c>
      <c r="K14" s="6" t="n">
        <v>0</v>
      </c>
      <c r="L14" s="6" t="n">
        <v>0</v>
      </c>
      <c r="M14" s="6" t="n">
        <v>14839.59</v>
      </c>
      <c r="N14" s="6" t="n">
        <v>57739.59</v>
      </c>
      <c r="O14" s="5" t="s">
        <v>2323</v>
      </c>
      <c r="P14" s="5" t="s">
        <v>2323</v>
      </c>
      <c r="Q14" s="5" t="s">
        <v>2323</v>
      </c>
      <c r="R14" s="5" t="s">
        <v>2324</v>
      </c>
      <c r="S14" s="9" t="n">
        <v>45966</v>
      </c>
      <c r="T14" s="9" t="n">
        <v>45971</v>
      </c>
    </row>
    <row r="15" customFormat="false" ht="23.25" hidden="false" customHeight="true" outlineLevel="0" collapsed="false">
      <c r="A15" s="5" t="s">
        <v>1202</v>
      </c>
      <c r="B15" s="5" t="s">
        <v>1203</v>
      </c>
      <c r="C15" s="5" t="s">
        <v>619</v>
      </c>
      <c r="D15" s="5"/>
      <c r="E15" s="5" t="n">
        <v>2</v>
      </c>
      <c r="F15" s="5" t="n">
        <v>9</v>
      </c>
      <c r="G15" s="5" t="n">
        <v>1</v>
      </c>
      <c r="H15" s="5"/>
      <c r="I15" s="5" t="n">
        <v>12</v>
      </c>
      <c r="J15" s="6" t="n">
        <v>55398</v>
      </c>
      <c r="K15" s="6" t="n">
        <v>0</v>
      </c>
      <c r="L15" s="6" t="n">
        <v>0</v>
      </c>
      <c r="M15" s="6" t="n">
        <v>18629.87</v>
      </c>
      <c r="N15" s="6" t="n">
        <v>74027.87</v>
      </c>
      <c r="O15" s="5" t="s">
        <v>2323</v>
      </c>
      <c r="P15" s="5" t="s">
        <v>2323</v>
      </c>
      <c r="Q15" s="5" t="s">
        <v>2323</v>
      </c>
      <c r="R15" s="5" t="s">
        <v>2324</v>
      </c>
      <c r="S15" s="9" t="n">
        <v>45971</v>
      </c>
      <c r="T15" s="9" t="n">
        <v>45986</v>
      </c>
    </row>
    <row r="16" customFormat="false" ht="23.25" hidden="false" customHeight="true" outlineLevel="0" collapsed="false">
      <c r="A16" s="5" t="s">
        <v>621</v>
      </c>
      <c r="B16" s="5" t="s">
        <v>622</v>
      </c>
      <c r="C16" s="5" t="s">
        <v>619</v>
      </c>
      <c r="D16" s="5"/>
      <c r="E16" s="5" t="n">
        <v>1</v>
      </c>
      <c r="F16" s="5" t="n">
        <v>2</v>
      </c>
      <c r="G16" s="5" t="n">
        <v>1</v>
      </c>
      <c r="H16" s="5"/>
      <c r="I16" s="5" t="n">
        <v>4</v>
      </c>
      <c r="J16" s="6" t="n">
        <v>20448</v>
      </c>
      <c r="K16" s="6" t="n">
        <v>0</v>
      </c>
      <c r="L16" s="6" t="n">
        <v>0</v>
      </c>
      <c r="M16" s="6" t="n">
        <v>20085.65</v>
      </c>
      <c r="N16" s="6" t="n">
        <v>40533.65</v>
      </c>
      <c r="O16" s="5" t="s">
        <v>2323</v>
      </c>
      <c r="P16" s="5" t="s">
        <v>2323</v>
      </c>
      <c r="Q16" s="5" t="s">
        <v>2323</v>
      </c>
      <c r="R16" s="5" t="s">
        <v>2327</v>
      </c>
      <c r="S16" s="9" t="n">
        <v>45979</v>
      </c>
      <c r="T16" s="9" t="n">
        <v>45989</v>
      </c>
    </row>
    <row r="17" customFormat="false" ht="23.25" hidden="false" customHeight="true" outlineLevel="0" collapsed="false">
      <c r="A17" s="5" t="s">
        <v>1102</v>
      </c>
      <c r="B17" s="5" t="s">
        <v>1103</v>
      </c>
      <c r="C17" s="5" t="s">
        <v>619</v>
      </c>
      <c r="D17" s="5"/>
      <c r="E17" s="5" t="n">
        <v>2</v>
      </c>
      <c r="F17" s="5" t="n">
        <v>8</v>
      </c>
      <c r="G17" s="5" t="n">
        <v>1</v>
      </c>
      <c r="H17" s="5"/>
      <c r="I17" s="5" t="n">
        <v>11</v>
      </c>
      <c r="J17" s="6" t="n">
        <v>50898</v>
      </c>
      <c r="K17" s="6" t="n">
        <v>0</v>
      </c>
      <c r="L17" s="6" t="n">
        <v>0</v>
      </c>
      <c r="M17" s="6" t="n">
        <v>20012.75</v>
      </c>
      <c r="N17" s="6" t="n">
        <v>70910.75</v>
      </c>
      <c r="O17" s="5" t="s">
        <v>2323</v>
      </c>
      <c r="P17" s="5" t="s">
        <v>2323</v>
      </c>
      <c r="Q17" s="5" t="s">
        <v>2323</v>
      </c>
      <c r="R17" s="5" t="s">
        <v>2324</v>
      </c>
      <c r="S17" s="9" t="n">
        <v>45988</v>
      </c>
      <c r="T17" s="9" t="n">
        <v>45989</v>
      </c>
    </row>
    <row r="18" customFormat="false" ht="23.25" hidden="false" customHeight="true" outlineLevel="0" collapsed="false">
      <c r="A18" s="5" t="s">
        <v>1140</v>
      </c>
      <c r="B18" s="5" t="s">
        <v>1141</v>
      </c>
      <c r="C18" s="5" t="s">
        <v>619</v>
      </c>
      <c r="D18" s="5"/>
      <c r="E18" s="5" t="n">
        <v>2</v>
      </c>
      <c r="F18" s="5" t="n">
        <v>6</v>
      </c>
      <c r="G18" s="5"/>
      <c r="H18" s="5"/>
      <c r="I18" s="5" t="n">
        <v>8</v>
      </c>
      <c r="J18" s="6" t="n">
        <v>33900</v>
      </c>
      <c r="K18" s="6" t="n">
        <v>0</v>
      </c>
      <c r="L18" s="6" t="n">
        <v>0</v>
      </c>
      <c r="M18" s="6" t="n">
        <v>13596.55</v>
      </c>
      <c r="N18" s="6" t="n">
        <v>47496.55</v>
      </c>
      <c r="O18" s="5" t="s">
        <v>2323</v>
      </c>
      <c r="P18" s="5" t="s">
        <v>2323</v>
      </c>
      <c r="Q18" s="5" t="s">
        <v>2323</v>
      </c>
      <c r="R18" s="5" t="s">
        <v>2326</v>
      </c>
      <c r="S18" s="9" t="n">
        <v>45978</v>
      </c>
      <c r="T18" s="9" t="n">
        <v>45992</v>
      </c>
    </row>
    <row r="19" customFormat="false" ht="23.25" hidden="false" customHeight="true" outlineLevel="0" collapsed="false">
      <c r="A19" s="5" t="s">
        <v>1016</v>
      </c>
      <c r="B19" s="5" t="s">
        <v>1017</v>
      </c>
      <c r="C19" s="5" t="s">
        <v>619</v>
      </c>
      <c r="D19" s="5"/>
      <c r="E19" s="5" t="n">
        <v>2</v>
      </c>
      <c r="F19" s="5" t="n">
        <v>9</v>
      </c>
      <c r="G19" s="5"/>
      <c r="H19" s="5"/>
      <c r="I19" s="5" t="n">
        <v>11</v>
      </c>
      <c r="J19" s="6" t="n">
        <v>47400</v>
      </c>
      <c r="K19" s="6" t="n">
        <v>0</v>
      </c>
      <c r="L19" s="6" t="n">
        <v>0</v>
      </c>
      <c r="M19" s="6" t="n">
        <v>38591.03</v>
      </c>
      <c r="N19" s="6" t="n">
        <v>85991.03</v>
      </c>
      <c r="O19" s="5" t="s">
        <v>2323</v>
      </c>
      <c r="P19" s="5" t="s">
        <v>2323</v>
      </c>
      <c r="Q19" s="5" t="s">
        <v>2323</v>
      </c>
      <c r="R19" s="5" t="s">
        <v>2324</v>
      </c>
      <c r="S19" s="9" t="n">
        <v>45972</v>
      </c>
      <c r="T19" s="9" t="n">
        <v>45994</v>
      </c>
    </row>
    <row r="20" customFormat="false" ht="23.25" hidden="false" customHeight="true" outlineLevel="0" collapsed="false">
      <c r="A20" s="5" t="s">
        <v>982</v>
      </c>
      <c r="B20" s="5" t="s">
        <v>983</v>
      </c>
      <c r="C20" s="5" t="s">
        <v>619</v>
      </c>
      <c r="D20" s="5"/>
      <c r="E20" s="5" t="n">
        <v>3</v>
      </c>
      <c r="F20" s="5" t="n">
        <v>6</v>
      </c>
      <c r="G20" s="5" t="n">
        <v>1</v>
      </c>
      <c r="H20" s="5"/>
      <c r="I20" s="5" t="n">
        <v>10</v>
      </c>
      <c r="J20" s="6" t="n">
        <v>45348</v>
      </c>
      <c r="K20" s="6" t="n">
        <v>0</v>
      </c>
      <c r="L20" s="6" t="n">
        <v>0</v>
      </c>
      <c r="M20" s="6" t="n">
        <v>43548.89</v>
      </c>
      <c r="N20" s="6" t="n">
        <v>88896.89</v>
      </c>
      <c r="O20" s="5" t="s">
        <v>2323</v>
      </c>
      <c r="P20" s="5" t="s">
        <v>2323</v>
      </c>
      <c r="Q20" s="5" t="s">
        <v>2323</v>
      </c>
      <c r="R20" s="5" t="s">
        <v>2327</v>
      </c>
      <c r="S20" s="9" t="n">
        <v>46009</v>
      </c>
      <c r="T20" s="9" t="n">
        <v>45994</v>
      </c>
    </row>
    <row r="21" customFormat="false" ht="23.25" hidden="false" customHeight="true" outlineLevel="0" collapsed="false">
      <c r="A21" s="5" t="s">
        <v>999</v>
      </c>
      <c r="B21" s="5" t="s">
        <v>1000</v>
      </c>
      <c r="C21" s="5" t="s">
        <v>619</v>
      </c>
      <c r="D21" s="5" t="n">
        <v>1</v>
      </c>
      <c r="E21" s="5" t="n">
        <v>2</v>
      </c>
      <c r="F21" s="5" t="n">
        <v>5</v>
      </c>
      <c r="G21" s="5"/>
      <c r="H21" s="5"/>
      <c r="I21" s="5" t="n">
        <v>8</v>
      </c>
      <c r="J21" s="6" t="n">
        <v>31762</v>
      </c>
      <c r="K21" s="6" t="n">
        <v>0</v>
      </c>
      <c r="L21" s="6" t="n">
        <v>0</v>
      </c>
      <c r="M21" s="6" t="n">
        <v>19089.53</v>
      </c>
      <c r="N21" s="6" t="n">
        <v>50851.53</v>
      </c>
      <c r="O21" s="5" t="s">
        <v>2323</v>
      </c>
      <c r="P21" s="5" t="s">
        <v>2323</v>
      </c>
      <c r="Q21" s="5" t="s">
        <v>2323</v>
      </c>
      <c r="R21" s="5" t="s">
        <v>2326</v>
      </c>
      <c r="S21" s="9" t="n">
        <v>45985</v>
      </c>
      <c r="T21" s="9" t="n">
        <v>45995</v>
      </c>
    </row>
    <row r="22" customFormat="false" ht="23.25" hidden="false" customHeight="true" outlineLevel="0" collapsed="false">
      <c r="A22" s="5" t="s">
        <v>1299</v>
      </c>
      <c r="B22" s="5" t="s">
        <v>1300</v>
      </c>
      <c r="C22" s="5" t="s">
        <v>619</v>
      </c>
      <c r="D22" s="5"/>
      <c r="E22" s="5" t="n">
        <v>1</v>
      </c>
      <c r="F22" s="5" t="n">
        <v>9</v>
      </c>
      <c r="G22" s="5" t="n">
        <v>1</v>
      </c>
      <c r="H22" s="5"/>
      <c r="I22" s="5" t="n">
        <v>11</v>
      </c>
      <c r="J22" s="6" t="n">
        <v>51948</v>
      </c>
      <c r="K22" s="6" t="n">
        <v>0</v>
      </c>
      <c r="L22" s="6" t="n">
        <v>0</v>
      </c>
      <c r="M22" s="6" t="n">
        <v>23410.72</v>
      </c>
      <c r="N22" s="6" t="n">
        <v>75358.72</v>
      </c>
      <c r="O22" s="5" t="s">
        <v>2323</v>
      </c>
      <c r="P22" s="5" t="s">
        <v>2323</v>
      </c>
      <c r="Q22" s="5" t="s">
        <v>2323</v>
      </c>
      <c r="R22" s="5" t="s">
        <v>2326</v>
      </c>
      <c r="S22" s="9" t="n">
        <v>45992</v>
      </c>
      <c r="T22" s="9" t="n">
        <v>46017</v>
      </c>
    </row>
    <row r="23" customFormat="false" ht="23.25" hidden="false" customHeight="true" outlineLevel="0" collapsed="false">
      <c r="A23" s="5" t="s">
        <v>1110</v>
      </c>
      <c r="B23" s="5" t="s">
        <v>1111</v>
      </c>
      <c r="C23" s="5" t="s">
        <v>619</v>
      </c>
      <c r="D23" s="5"/>
      <c r="E23" s="5" t="n">
        <v>1</v>
      </c>
      <c r="F23" s="5" t="n">
        <v>10</v>
      </c>
      <c r="G23" s="5"/>
      <c r="H23" s="5"/>
      <c r="I23" s="5" t="n">
        <v>11</v>
      </c>
      <c r="J23" s="6" t="n">
        <v>48450</v>
      </c>
      <c r="K23" s="6" t="n">
        <v>0</v>
      </c>
      <c r="L23" s="6" t="n">
        <v>0</v>
      </c>
      <c r="M23" s="6" t="n">
        <v>41345.76</v>
      </c>
      <c r="N23" s="6" t="n">
        <v>89795.76</v>
      </c>
      <c r="O23" s="5" t="s">
        <v>2323</v>
      </c>
      <c r="P23" s="5" t="s">
        <v>2323</v>
      </c>
      <c r="Q23" s="5" t="s">
        <v>2323</v>
      </c>
      <c r="R23" s="5" t="s">
        <v>2327</v>
      </c>
      <c r="S23" s="9" t="n">
        <v>45999</v>
      </c>
      <c r="T23" s="9" t="n">
        <v>46017</v>
      </c>
    </row>
    <row r="24" customFormat="false" ht="23.25" hidden="false" customHeight="true" outlineLevel="0" collapsed="false">
      <c r="A24" s="5" t="s">
        <v>1206</v>
      </c>
      <c r="B24" s="5" t="s">
        <v>1207</v>
      </c>
      <c r="C24" s="5" t="s">
        <v>619</v>
      </c>
      <c r="D24" s="5" t="n">
        <v>1</v>
      </c>
      <c r="E24" s="5" t="n">
        <v>2</v>
      </c>
      <c r="F24" s="5" t="n">
        <v>10</v>
      </c>
      <c r="G24" s="5" t="n">
        <v>1</v>
      </c>
      <c r="H24" s="5"/>
      <c r="I24" s="5" t="n">
        <v>14</v>
      </c>
      <c r="J24" s="6" t="n">
        <v>62260</v>
      </c>
      <c r="K24" s="6" t="n">
        <v>0</v>
      </c>
      <c r="L24" s="6" t="n">
        <v>0</v>
      </c>
      <c r="M24" s="6" t="n">
        <v>53340.34</v>
      </c>
      <c r="N24" s="6" t="n">
        <v>115600.34</v>
      </c>
      <c r="O24" s="5" t="s">
        <v>2323</v>
      </c>
      <c r="P24" s="5" t="s">
        <v>2323</v>
      </c>
      <c r="Q24" s="5" t="s">
        <v>2323</v>
      </c>
      <c r="R24" s="5" t="s">
        <v>2327</v>
      </c>
      <c r="S24" s="9" t="n">
        <v>45999</v>
      </c>
      <c r="T24" s="9" t="n">
        <v>46017</v>
      </c>
    </row>
    <row r="25" customFormat="false" ht="23.25" hidden="false" customHeight="true" outlineLevel="0" collapsed="false">
      <c r="A25" s="5" t="s">
        <v>1249</v>
      </c>
      <c r="B25" s="5" t="s">
        <v>1250</v>
      </c>
      <c r="C25" s="5" t="s">
        <v>619</v>
      </c>
      <c r="D25" s="5"/>
      <c r="E25" s="5" t="n">
        <v>2</v>
      </c>
      <c r="F25" s="5" t="n">
        <v>10</v>
      </c>
      <c r="G25" s="5"/>
      <c r="H25" s="5"/>
      <c r="I25" s="5" t="n">
        <v>12</v>
      </c>
      <c r="J25" s="6" t="n">
        <v>51900</v>
      </c>
      <c r="K25" s="6" t="n">
        <v>0</v>
      </c>
      <c r="L25" s="6" t="n">
        <v>0</v>
      </c>
      <c r="M25" s="6" t="n">
        <v>28336.83</v>
      </c>
      <c r="N25" s="6" t="n">
        <v>80236.83</v>
      </c>
      <c r="O25" s="5" t="s">
        <v>2323</v>
      </c>
      <c r="P25" s="5" t="s">
        <v>2323</v>
      </c>
      <c r="Q25" s="5" t="s">
        <v>2323</v>
      </c>
      <c r="R25" s="5" t="s">
        <v>2325</v>
      </c>
      <c r="S25" s="9" t="n">
        <v>46000</v>
      </c>
      <c r="T25" s="9" t="n">
        <v>46017</v>
      </c>
    </row>
    <row r="26" customFormat="false" ht="23.25" hidden="false" customHeight="true" outlineLevel="0" collapsed="false">
      <c r="A26" s="5" t="s">
        <v>1262</v>
      </c>
      <c r="B26" s="5" t="s">
        <v>1263</v>
      </c>
      <c r="C26" s="5" t="s">
        <v>619</v>
      </c>
      <c r="D26" s="5"/>
      <c r="E26" s="5" t="n">
        <v>1</v>
      </c>
      <c r="F26" s="5" t="n">
        <v>10</v>
      </c>
      <c r="G26" s="5"/>
      <c r="H26" s="5"/>
      <c r="I26" s="5" t="n">
        <v>11</v>
      </c>
      <c r="J26" s="6" t="n">
        <v>48450</v>
      </c>
      <c r="K26" s="6" t="n">
        <v>0</v>
      </c>
      <c r="L26" s="6" t="n">
        <v>0</v>
      </c>
      <c r="M26" s="6" t="n">
        <v>25967.61</v>
      </c>
      <c r="N26" s="6" t="n">
        <v>74417.61</v>
      </c>
      <c r="O26" s="5" t="s">
        <v>2323</v>
      </c>
      <c r="P26" s="5" t="s">
        <v>2323</v>
      </c>
      <c r="Q26" s="5" t="s">
        <v>2323</v>
      </c>
      <c r="R26" s="5" t="s">
        <v>2325</v>
      </c>
      <c r="S26" s="9" t="n">
        <v>46000</v>
      </c>
      <c r="T26" s="9" t="n">
        <v>46017</v>
      </c>
    </row>
    <row r="27" customFormat="false" ht="23.25" hidden="false" customHeight="true" outlineLevel="0" collapsed="false">
      <c r="A27" s="5" t="s">
        <v>1156</v>
      </c>
      <c r="B27" s="5" t="s">
        <v>1157</v>
      </c>
      <c r="C27" s="5" t="s">
        <v>619</v>
      </c>
      <c r="D27" s="5"/>
      <c r="E27" s="5" t="n">
        <v>2</v>
      </c>
      <c r="F27" s="5" t="n">
        <v>8</v>
      </c>
      <c r="G27" s="5"/>
      <c r="H27" s="5"/>
      <c r="I27" s="5" t="n">
        <v>10</v>
      </c>
      <c r="J27" s="6" t="n">
        <v>42900</v>
      </c>
      <c r="K27" s="6" t="n">
        <v>0</v>
      </c>
      <c r="L27" s="6" t="n">
        <v>0</v>
      </c>
      <c r="M27" s="6" t="n">
        <v>25960.3</v>
      </c>
      <c r="N27" s="6" t="n">
        <v>68860.3</v>
      </c>
      <c r="O27" s="5" t="s">
        <v>2323</v>
      </c>
      <c r="P27" s="5" t="s">
        <v>2323</v>
      </c>
      <c r="Q27" s="5" t="s">
        <v>2323</v>
      </c>
      <c r="R27" s="5" t="s">
        <v>2325</v>
      </c>
      <c r="S27" s="9" t="n">
        <v>46001</v>
      </c>
      <c r="T27" s="9" t="n">
        <v>46017</v>
      </c>
    </row>
    <row r="28" customFormat="false" ht="23.25" hidden="false" customHeight="true" outlineLevel="0" collapsed="false">
      <c r="A28" s="5" t="s">
        <v>1008</v>
      </c>
      <c r="B28" s="5" t="s">
        <v>1009</v>
      </c>
      <c r="C28" s="5" t="s">
        <v>619</v>
      </c>
      <c r="D28" s="5"/>
      <c r="E28" s="5" t="n">
        <v>1</v>
      </c>
      <c r="F28" s="5" t="n">
        <v>10</v>
      </c>
      <c r="G28" s="5"/>
      <c r="H28" s="5"/>
      <c r="I28" s="5" t="n">
        <v>11</v>
      </c>
      <c r="J28" s="6" t="n">
        <v>48450</v>
      </c>
      <c r="K28" s="6" t="n">
        <v>0</v>
      </c>
      <c r="L28" s="6" t="n">
        <v>0</v>
      </c>
      <c r="M28" s="6" t="n">
        <v>29974.56</v>
      </c>
      <c r="N28" s="6" t="n">
        <v>78424.56</v>
      </c>
      <c r="O28" s="5" t="s">
        <v>2323</v>
      </c>
      <c r="P28" s="5" t="s">
        <v>2323</v>
      </c>
      <c r="Q28" s="5" t="s">
        <v>2323</v>
      </c>
      <c r="R28" s="5" t="s">
        <v>2325</v>
      </c>
      <c r="S28" s="9" t="n">
        <v>46001</v>
      </c>
      <c r="T28" s="9" t="n">
        <v>46017</v>
      </c>
    </row>
    <row r="29" customFormat="false" ht="23.25" hidden="false" customHeight="true" outlineLevel="0" collapsed="false">
      <c r="A29" s="5" t="s">
        <v>986</v>
      </c>
      <c r="B29" s="5" t="s">
        <v>987</v>
      </c>
      <c r="C29" s="5" t="s">
        <v>619</v>
      </c>
      <c r="D29" s="5"/>
      <c r="E29" s="5" t="n">
        <v>2</v>
      </c>
      <c r="F29" s="5" t="n">
        <v>9</v>
      </c>
      <c r="G29" s="5" t="n">
        <v>1</v>
      </c>
      <c r="H29" s="5"/>
      <c r="I29" s="5" t="n">
        <v>12</v>
      </c>
      <c r="J29" s="6" t="n">
        <v>55398</v>
      </c>
      <c r="K29" s="6" t="n">
        <v>0</v>
      </c>
      <c r="L29" s="6" t="n">
        <v>17642.06</v>
      </c>
      <c r="M29" s="6" t="n">
        <v>27907.57</v>
      </c>
      <c r="N29" s="6" t="n">
        <v>100947.63</v>
      </c>
      <c r="O29" s="5" t="s">
        <v>2323</v>
      </c>
      <c r="P29" s="5" t="s">
        <v>2323</v>
      </c>
      <c r="Q29" s="5" t="s">
        <v>2323</v>
      </c>
      <c r="R29" s="5" t="s">
        <v>2325</v>
      </c>
      <c r="S29" s="9" t="n">
        <v>46001</v>
      </c>
      <c r="T29" s="9" t="n">
        <v>46017</v>
      </c>
    </row>
    <row r="30" customFormat="false" ht="23.25" hidden="false" customHeight="true" outlineLevel="0" collapsed="false">
      <c r="A30" s="5" t="s">
        <v>1216</v>
      </c>
      <c r="B30" s="5" t="s">
        <v>1217</v>
      </c>
      <c r="C30" s="5" t="s">
        <v>619</v>
      </c>
      <c r="D30" s="5"/>
      <c r="E30" s="5"/>
      <c r="F30" s="5" t="n">
        <v>7</v>
      </c>
      <c r="G30" s="5" t="n">
        <v>1</v>
      </c>
      <c r="H30" s="5"/>
      <c r="I30" s="5" t="n">
        <v>8</v>
      </c>
      <c r="J30" s="6" t="n">
        <v>39498</v>
      </c>
      <c r="K30" s="6" t="n">
        <v>0</v>
      </c>
      <c r="L30" s="6" t="n">
        <v>13761.97</v>
      </c>
      <c r="M30" s="6" t="n">
        <v>23189.47</v>
      </c>
      <c r="N30" s="6" t="n">
        <v>76449.44</v>
      </c>
      <c r="O30" s="5" t="s">
        <v>2323</v>
      </c>
      <c r="P30" s="5" t="s">
        <v>2323</v>
      </c>
      <c r="Q30" s="5" t="s">
        <v>2323</v>
      </c>
      <c r="R30" s="5" t="s">
        <v>2325</v>
      </c>
      <c r="S30" s="9" t="n">
        <v>46002</v>
      </c>
      <c r="T30" s="9" t="n">
        <v>46017</v>
      </c>
    </row>
    <row r="31" customFormat="false" ht="23.25" hidden="false" customHeight="true" outlineLevel="0" collapsed="false">
      <c r="A31" s="5" t="s">
        <v>630</v>
      </c>
      <c r="B31" s="5" t="s">
        <v>631</v>
      </c>
      <c r="C31" s="5" t="s">
        <v>619</v>
      </c>
      <c r="D31" s="5"/>
      <c r="E31" s="5" t="n">
        <v>1</v>
      </c>
      <c r="F31" s="5" t="n">
        <v>5</v>
      </c>
      <c r="G31" s="5"/>
      <c r="H31" s="5"/>
      <c r="I31" s="5" t="n">
        <v>6</v>
      </c>
      <c r="J31" s="6" t="n">
        <v>25950</v>
      </c>
      <c r="K31" s="6" t="n">
        <v>0</v>
      </c>
      <c r="L31" s="6" t="n">
        <v>0</v>
      </c>
      <c r="M31" s="6" t="n">
        <v>22895.13</v>
      </c>
      <c r="N31" s="6" t="n">
        <v>48845.13</v>
      </c>
      <c r="O31" s="5" t="s">
        <v>2323</v>
      </c>
      <c r="P31" s="5" t="s">
        <v>2323</v>
      </c>
      <c r="Q31" s="5" t="s">
        <v>2323</v>
      </c>
      <c r="R31" s="5" t="s">
        <v>2327</v>
      </c>
      <c r="S31" s="9" t="n">
        <v>46003</v>
      </c>
      <c r="T31" s="9" t="n">
        <v>46017</v>
      </c>
    </row>
    <row r="32" customFormat="false" ht="23.25" hidden="false" customHeight="true" outlineLevel="0" collapsed="false">
      <c r="A32" s="5" t="s">
        <v>843</v>
      </c>
      <c r="B32" s="5" t="s">
        <v>844</v>
      </c>
      <c r="C32" s="5" t="s">
        <v>619</v>
      </c>
      <c r="D32" s="5"/>
      <c r="E32" s="5" t="n">
        <v>1</v>
      </c>
      <c r="F32" s="5" t="n">
        <v>6</v>
      </c>
      <c r="G32" s="5"/>
      <c r="H32" s="5"/>
      <c r="I32" s="5" t="n">
        <v>7</v>
      </c>
      <c r="J32" s="6" t="n">
        <v>30450</v>
      </c>
      <c r="K32" s="6" t="n">
        <v>0</v>
      </c>
      <c r="L32" s="6" t="n">
        <v>0</v>
      </c>
      <c r="M32" s="6" t="n">
        <v>21608.82</v>
      </c>
      <c r="N32" s="6" t="n">
        <v>52058.82</v>
      </c>
      <c r="O32" s="5" t="s">
        <v>2323</v>
      </c>
      <c r="P32" s="5" t="s">
        <v>2323</v>
      </c>
      <c r="Q32" s="5" t="s">
        <v>2323</v>
      </c>
      <c r="R32" s="5" t="s">
        <v>2327</v>
      </c>
      <c r="S32" s="9" t="n">
        <v>46003</v>
      </c>
      <c r="T32" s="9" t="n">
        <v>46017</v>
      </c>
    </row>
    <row r="33" customFormat="false" ht="23.25" hidden="false" customHeight="true" outlineLevel="0" collapsed="false">
      <c r="A33" s="5" t="s">
        <v>1352</v>
      </c>
      <c r="B33" s="5" t="s">
        <v>1353</v>
      </c>
      <c r="C33" s="5" t="s">
        <v>619</v>
      </c>
      <c r="D33" s="5"/>
      <c r="E33" s="5" t="n">
        <v>2</v>
      </c>
      <c r="F33" s="5" t="n">
        <v>9</v>
      </c>
      <c r="G33" s="5"/>
      <c r="H33" s="5"/>
      <c r="I33" s="5" t="n">
        <v>11</v>
      </c>
      <c r="J33" s="6" t="n">
        <v>47400</v>
      </c>
      <c r="K33" s="6" t="n">
        <v>0</v>
      </c>
      <c r="L33" s="6" t="n">
        <v>0</v>
      </c>
      <c r="M33" s="6" t="n">
        <v>40878.05</v>
      </c>
      <c r="N33" s="6" t="n">
        <v>88278.05</v>
      </c>
      <c r="O33" s="5" t="s">
        <v>2323</v>
      </c>
      <c r="P33" s="5" t="s">
        <v>2323</v>
      </c>
      <c r="Q33" s="5" t="s">
        <v>2323</v>
      </c>
      <c r="R33" s="5" t="s">
        <v>2327</v>
      </c>
      <c r="S33" s="9" t="n">
        <v>46006</v>
      </c>
      <c r="T33" s="9" t="n">
        <v>46017</v>
      </c>
    </row>
    <row r="34" customFormat="false" ht="23.25" hidden="false" customHeight="true" outlineLevel="0" collapsed="false">
      <c r="A34" s="5" t="s">
        <v>1372</v>
      </c>
      <c r="B34" s="5" t="s">
        <v>1373</v>
      </c>
      <c r="C34" s="5" t="s">
        <v>619</v>
      </c>
      <c r="D34" s="5"/>
      <c r="E34" s="5" t="n">
        <v>2</v>
      </c>
      <c r="F34" s="5" t="n">
        <v>10</v>
      </c>
      <c r="G34" s="5"/>
      <c r="H34" s="5"/>
      <c r="I34" s="5" t="n">
        <v>12</v>
      </c>
      <c r="J34" s="6" t="n">
        <v>51900</v>
      </c>
      <c r="K34" s="6" t="n">
        <v>680.87</v>
      </c>
      <c r="L34" s="6" t="n">
        <v>0</v>
      </c>
      <c r="M34" s="6" t="n">
        <v>41346.39</v>
      </c>
      <c r="N34" s="6" t="n">
        <v>93927.26</v>
      </c>
      <c r="O34" s="5" t="s">
        <v>2323</v>
      </c>
      <c r="P34" s="5" t="s">
        <v>2323</v>
      </c>
      <c r="Q34" s="5" t="s">
        <v>2323</v>
      </c>
      <c r="R34" s="5" t="s">
        <v>2327</v>
      </c>
      <c r="S34" s="9" t="n">
        <v>46006</v>
      </c>
      <c r="T34" s="9" t="n">
        <v>46017</v>
      </c>
    </row>
    <row r="35" customFormat="false" ht="23.25" hidden="false" customHeight="true" outlineLevel="0" collapsed="false">
      <c r="A35" s="5" t="s">
        <v>1295</v>
      </c>
      <c r="B35" s="5" t="s">
        <v>1296</v>
      </c>
      <c r="C35" s="5" t="s">
        <v>619</v>
      </c>
      <c r="D35" s="5"/>
      <c r="E35" s="5" t="n">
        <v>1</v>
      </c>
      <c r="F35" s="5" t="n">
        <v>5</v>
      </c>
      <c r="G35" s="5" t="n">
        <v>1</v>
      </c>
      <c r="H35" s="5"/>
      <c r="I35" s="5" t="n">
        <v>7</v>
      </c>
      <c r="J35" s="6" t="n">
        <v>33948</v>
      </c>
      <c r="K35" s="6" t="n">
        <v>0</v>
      </c>
      <c r="L35" s="6" t="n">
        <v>0</v>
      </c>
      <c r="M35" s="6" t="n">
        <v>16153.37</v>
      </c>
      <c r="N35" s="6" t="n">
        <v>50101.37</v>
      </c>
      <c r="O35" s="5" t="s">
        <v>2328</v>
      </c>
      <c r="P35" s="5" t="s">
        <v>2323</v>
      </c>
      <c r="Q35" s="5" t="s">
        <v>2323</v>
      </c>
      <c r="R35" s="5" t="s">
        <v>2326</v>
      </c>
      <c r="S35" s="9" t="n">
        <v>46010</v>
      </c>
      <c r="T35" s="9" t="n">
        <v>46017</v>
      </c>
    </row>
    <row r="36" customFormat="false" ht="23.25" hidden="false" customHeight="true" outlineLevel="0" collapsed="false">
      <c r="A36" s="5" t="s">
        <v>1304</v>
      </c>
      <c r="B36" s="5" t="s">
        <v>1305</v>
      </c>
      <c r="C36" s="5" t="s">
        <v>619</v>
      </c>
      <c r="D36" s="5"/>
      <c r="E36" s="5" t="n">
        <v>2</v>
      </c>
      <c r="F36" s="5"/>
      <c r="G36" s="5" t="n">
        <v>11</v>
      </c>
      <c r="H36" s="5"/>
      <c r="I36" s="5" t="n">
        <v>13</v>
      </c>
      <c r="J36" s="6" t="n">
        <v>94878</v>
      </c>
      <c r="K36" s="6" t="n">
        <v>0</v>
      </c>
      <c r="L36" s="6" t="n">
        <v>0</v>
      </c>
      <c r="M36" s="6" t="n">
        <v>44690.17</v>
      </c>
      <c r="N36" s="6" t="n">
        <v>139568.17</v>
      </c>
      <c r="O36" s="5" t="s">
        <v>2323</v>
      </c>
      <c r="P36" s="5" t="s">
        <v>2323</v>
      </c>
      <c r="Q36" s="5" t="s">
        <v>2323</v>
      </c>
      <c r="R36" s="5" t="s">
        <v>2327</v>
      </c>
      <c r="S36" s="9" t="n">
        <v>46013</v>
      </c>
      <c r="T36" s="9" t="n">
        <v>46017</v>
      </c>
    </row>
    <row r="37" customFormat="false" ht="23.25" hidden="false" customHeight="true" outlineLevel="0" collapsed="false">
      <c r="A37" s="5" t="s">
        <v>1316</v>
      </c>
      <c r="B37" s="5" t="s">
        <v>1317</v>
      </c>
      <c r="C37" s="5" t="s">
        <v>619</v>
      </c>
      <c r="D37" s="5"/>
      <c r="E37" s="5" t="n">
        <v>1</v>
      </c>
      <c r="F37" s="5" t="n">
        <v>8</v>
      </c>
      <c r="G37" s="5" t="n">
        <v>3</v>
      </c>
      <c r="H37" s="5"/>
      <c r="I37" s="5" t="n">
        <v>12</v>
      </c>
      <c r="J37" s="6" t="n">
        <v>63444</v>
      </c>
      <c r="K37" s="6" t="n">
        <v>0</v>
      </c>
      <c r="L37" s="6" t="n">
        <v>0</v>
      </c>
      <c r="M37" s="6" t="n">
        <v>34404.7</v>
      </c>
      <c r="N37" s="6" t="n">
        <v>97848.7</v>
      </c>
      <c r="O37" s="5" t="s">
        <v>2323</v>
      </c>
      <c r="P37" s="5" t="s">
        <v>2323</v>
      </c>
      <c r="Q37" s="5" t="s">
        <v>2323</v>
      </c>
      <c r="R37" s="5" t="s">
        <v>2327</v>
      </c>
      <c r="S37" s="9" t="n">
        <v>46013</v>
      </c>
      <c r="T37" s="9" t="n">
        <v>46017</v>
      </c>
    </row>
    <row r="38" customFormat="false" ht="23.25" hidden="false" customHeight="true" outlineLevel="0" collapsed="false">
      <c r="A38" s="5" t="s">
        <v>1148</v>
      </c>
      <c r="B38" s="5" t="s">
        <v>1149</v>
      </c>
      <c r="C38" s="5" t="s">
        <v>619</v>
      </c>
      <c r="D38" s="5"/>
      <c r="E38" s="5" t="n">
        <v>1</v>
      </c>
      <c r="F38" s="5" t="n">
        <v>8</v>
      </c>
      <c r="G38" s="5"/>
      <c r="H38" s="5"/>
      <c r="I38" s="5" t="n">
        <v>9</v>
      </c>
      <c r="J38" s="6" t="n">
        <v>39450</v>
      </c>
      <c r="K38" s="6" t="n">
        <v>0</v>
      </c>
      <c r="L38" s="6" t="n">
        <v>0</v>
      </c>
      <c r="M38" s="6" t="n">
        <v>10555.87</v>
      </c>
      <c r="N38" s="6" t="n">
        <v>50005.87</v>
      </c>
      <c r="O38" s="5" t="s">
        <v>2323</v>
      </c>
      <c r="P38" s="5" t="s">
        <v>2323</v>
      </c>
      <c r="Q38" s="5" t="s">
        <v>2323</v>
      </c>
      <c r="R38" s="5" t="s">
        <v>2326</v>
      </c>
      <c r="S38" s="9" t="n">
        <v>46013</v>
      </c>
      <c r="T38" s="9" t="n">
        <v>46017</v>
      </c>
    </row>
    <row r="39" customFormat="false" ht="23.25" hidden="false" customHeight="true" outlineLevel="0" collapsed="false">
      <c r="A39" s="5" t="s">
        <v>673</v>
      </c>
      <c r="B39" s="5" t="s">
        <v>674</v>
      </c>
      <c r="C39" s="5" t="s">
        <v>619</v>
      </c>
      <c r="D39" s="5"/>
      <c r="E39" s="5" t="n">
        <v>1</v>
      </c>
      <c r="F39" s="5"/>
      <c r="G39" s="5"/>
      <c r="H39" s="5"/>
      <c r="I39" s="5" t="n">
        <v>1</v>
      </c>
      <c r="J39" s="6" t="n">
        <v>3450</v>
      </c>
      <c r="K39" s="6" t="n">
        <v>0</v>
      </c>
      <c r="L39" s="6" t="n">
        <v>0</v>
      </c>
      <c r="M39" s="6" t="n">
        <v>0</v>
      </c>
      <c r="N39" s="6" t="n">
        <v>3450</v>
      </c>
      <c r="O39" s="5" t="s">
        <v>2323</v>
      </c>
      <c r="P39" s="5" t="s">
        <v>2323</v>
      </c>
      <c r="Q39" s="5" t="s">
        <v>2323</v>
      </c>
      <c r="R39" s="5" t="s">
        <v>2326</v>
      </c>
      <c r="S39" s="9" t="n">
        <v>46017</v>
      </c>
      <c r="T39" s="9" t="n">
        <v>46017</v>
      </c>
    </row>
    <row r="40" customFormat="false" ht="23.25" hidden="false" customHeight="true" outlineLevel="0" collapsed="false">
      <c r="A40" s="5" t="s">
        <v>1003</v>
      </c>
      <c r="B40" s="5" t="s">
        <v>1004</v>
      </c>
      <c r="C40" s="5" t="s">
        <v>619</v>
      </c>
      <c r="D40" s="5"/>
      <c r="E40" s="5" t="n">
        <v>2</v>
      </c>
      <c r="F40" s="5" t="n">
        <v>10</v>
      </c>
      <c r="G40" s="5"/>
      <c r="H40" s="5"/>
      <c r="I40" s="5" t="n">
        <v>12</v>
      </c>
      <c r="J40" s="6" t="n">
        <v>51900</v>
      </c>
      <c r="K40" s="6" t="n">
        <v>6875.57</v>
      </c>
      <c r="L40" s="6" t="n">
        <v>0</v>
      </c>
      <c r="M40" s="6" t="n">
        <v>55433.48</v>
      </c>
      <c r="N40" s="6" t="n">
        <v>114209.05</v>
      </c>
      <c r="O40" s="5" t="s">
        <v>2323</v>
      </c>
      <c r="P40" s="5" t="s">
        <v>2323</v>
      </c>
      <c r="Q40" s="5" t="s">
        <v>2323</v>
      </c>
      <c r="R40" s="5" t="s">
        <v>2327</v>
      </c>
      <c r="S40" s="9" t="n">
        <v>45994</v>
      </c>
      <c r="T40" s="5"/>
    </row>
    <row r="41" customFormat="false" ht="23.25" hidden="false" customHeight="true" outlineLevel="0" collapsed="false">
      <c r="A41" s="5" t="s">
        <v>1152</v>
      </c>
      <c r="B41" s="5" t="s">
        <v>1153</v>
      </c>
      <c r="C41" s="5" t="s">
        <v>619</v>
      </c>
      <c r="D41" s="5"/>
      <c r="E41" s="5" t="n">
        <v>2</v>
      </c>
      <c r="F41" s="5" t="n">
        <v>6</v>
      </c>
      <c r="G41" s="5"/>
      <c r="H41" s="5"/>
      <c r="I41" s="5" t="n">
        <v>8</v>
      </c>
      <c r="J41" s="6" t="n">
        <v>33900</v>
      </c>
      <c r="K41" s="6" t="n">
        <v>0</v>
      </c>
      <c r="L41" s="6" t="n">
        <v>0</v>
      </c>
      <c r="M41" s="6" t="n">
        <v>16516.93</v>
      </c>
      <c r="N41" s="6" t="n">
        <v>50416.93</v>
      </c>
      <c r="O41" s="5" t="s">
        <v>2323</v>
      </c>
      <c r="P41" s="5" t="s">
        <v>2323</v>
      </c>
      <c r="Q41" s="5" t="s">
        <v>2323</v>
      </c>
      <c r="R41" s="5" t="s">
        <v>2326</v>
      </c>
      <c r="S41" s="9" t="n">
        <v>46008</v>
      </c>
      <c r="T41" s="5"/>
    </row>
    <row r="42" customFormat="false" ht="23.25" hidden="false" customHeight="true" outlineLevel="0" collapsed="false">
      <c r="A42" s="5" t="s">
        <v>1055</v>
      </c>
      <c r="B42" s="5" t="s">
        <v>1056</v>
      </c>
      <c r="C42" s="5" t="s">
        <v>619</v>
      </c>
      <c r="D42" s="5"/>
      <c r="E42" s="5" t="n">
        <v>2</v>
      </c>
      <c r="F42" s="5"/>
      <c r="G42" s="5" t="n">
        <v>9</v>
      </c>
      <c r="H42" s="5"/>
      <c r="I42" s="5" t="n">
        <v>11</v>
      </c>
      <c r="J42" s="6" t="n">
        <v>78882</v>
      </c>
      <c r="K42" s="6" t="n">
        <v>0</v>
      </c>
      <c r="L42" s="6" t="n">
        <v>0</v>
      </c>
      <c r="M42" s="6" t="n">
        <v>59063.89</v>
      </c>
      <c r="N42" s="6" t="n">
        <v>137945.89</v>
      </c>
      <c r="O42" s="5" t="s">
        <v>2323</v>
      </c>
      <c r="P42" s="5" t="s">
        <v>2323</v>
      </c>
      <c r="Q42" s="5" t="s">
        <v>2323</v>
      </c>
      <c r="R42" s="5" t="s">
        <v>2327</v>
      </c>
      <c r="S42" s="9" t="n">
        <v>46013</v>
      </c>
      <c r="T42" s="5"/>
    </row>
    <row r="43" customFormat="false" ht="15" hidden="false" customHeight="true" outlineLevel="0" collapsed="false">
      <c r="A43" s="5" t="s">
        <v>1403</v>
      </c>
      <c r="B43" s="5" t="s">
        <v>1404</v>
      </c>
      <c r="C43" s="5" t="s">
        <v>619</v>
      </c>
      <c r="D43" s="5"/>
      <c r="E43" s="5"/>
      <c r="F43" s="5"/>
      <c r="G43" s="5"/>
      <c r="H43" s="5"/>
      <c r="I43" s="5" t="n">
        <v>0</v>
      </c>
      <c r="J43" s="6" t="n">
        <v>0</v>
      </c>
      <c r="K43" s="6" t="n">
        <v>0</v>
      </c>
      <c r="L43" s="6" t="n">
        <v>0</v>
      </c>
      <c r="M43" s="6" t="n">
        <v>0</v>
      </c>
      <c r="N43" s="6" t="n">
        <v>0</v>
      </c>
      <c r="O43" s="5"/>
      <c r="P43" s="5"/>
      <c r="Q43" s="5"/>
      <c r="R43" s="5"/>
      <c r="S43" s="5"/>
      <c r="T43" s="5"/>
    </row>
    <row r="44" customFormat="false" ht="15" hidden="false" customHeight="true" outlineLevel="0" collapsed="false">
      <c r="A44" s="5" t="s">
        <v>1190</v>
      </c>
      <c r="B44" s="5" t="s">
        <v>1191</v>
      </c>
      <c r="C44" s="5" t="s">
        <v>619</v>
      </c>
      <c r="D44" s="5"/>
      <c r="E44" s="5"/>
      <c r="F44" s="5"/>
      <c r="G44" s="5"/>
      <c r="H44" s="5"/>
      <c r="I44" s="5" t="n">
        <v>0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0</v>
      </c>
      <c r="O44" s="5"/>
      <c r="P44" s="5"/>
      <c r="Q44" s="5"/>
      <c r="R44" s="5"/>
      <c r="S44" s="5"/>
      <c r="T44" s="5"/>
    </row>
    <row r="45" customFormat="false" ht="15" hidden="false" customHeight="true" outlineLevel="0" collapsed="false">
      <c r="A45" s="5" t="s">
        <v>1198</v>
      </c>
      <c r="B45" s="5" t="s">
        <v>1199</v>
      </c>
      <c r="C45" s="5" t="s">
        <v>619</v>
      </c>
      <c r="D45" s="5"/>
      <c r="E45" s="5"/>
      <c r="F45" s="5"/>
      <c r="G45" s="5"/>
      <c r="H45" s="5"/>
      <c r="I45" s="5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5"/>
      <c r="P45" s="5"/>
      <c r="Q45" s="5"/>
      <c r="R45" s="5"/>
      <c r="S45" s="5"/>
      <c r="T45" s="5"/>
    </row>
    <row r="46" customFormat="false" ht="23.25" hidden="false" customHeight="true" outlineLevel="0" collapsed="false">
      <c r="A46" s="5" t="s">
        <v>1160</v>
      </c>
      <c r="B46" s="5" t="s">
        <v>1161</v>
      </c>
      <c r="C46" s="5" t="s">
        <v>619</v>
      </c>
      <c r="D46" s="5"/>
      <c r="E46" s="5" t="n">
        <v>1</v>
      </c>
      <c r="F46" s="5" t="n">
        <v>8</v>
      </c>
      <c r="G46" s="5"/>
      <c r="H46" s="5"/>
      <c r="I46" s="5" t="n">
        <v>9</v>
      </c>
      <c r="J46" s="6" t="n">
        <v>39450</v>
      </c>
      <c r="K46" s="6" t="n">
        <v>5414.67</v>
      </c>
      <c r="L46" s="6" t="n">
        <v>0</v>
      </c>
      <c r="M46" s="6" t="n">
        <v>25949.44</v>
      </c>
      <c r="N46" s="6" t="n">
        <v>70814.11</v>
      </c>
      <c r="O46" s="5" t="s">
        <v>2323</v>
      </c>
      <c r="P46" s="5" t="s">
        <v>2323</v>
      </c>
      <c r="Q46" s="5" t="s">
        <v>2323</v>
      </c>
      <c r="R46" s="5" t="s">
        <v>2326</v>
      </c>
      <c r="S46" s="5"/>
      <c r="T46" s="5"/>
    </row>
    <row r="47" customFormat="false" ht="15" hidden="false" customHeight="true" outlineLevel="0" collapsed="false">
      <c r="A47" s="5" t="s">
        <v>1399</v>
      </c>
      <c r="B47" s="5" t="s">
        <v>1400</v>
      </c>
      <c r="C47" s="5" t="s">
        <v>619</v>
      </c>
      <c r="D47" s="5"/>
      <c r="E47" s="5"/>
      <c r="F47" s="5"/>
      <c r="G47" s="5"/>
      <c r="H47" s="5"/>
      <c r="I47" s="5" t="n">
        <v>0</v>
      </c>
      <c r="J47" s="6" t="n">
        <v>0</v>
      </c>
      <c r="K47" s="6" t="n">
        <v>0</v>
      </c>
      <c r="L47" s="6" t="n">
        <v>0</v>
      </c>
      <c r="M47" s="6" t="n">
        <v>0</v>
      </c>
      <c r="N47" s="6" t="n">
        <v>0</v>
      </c>
      <c r="O47" s="5"/>
      <c r="P47" s="5"/>
      <c r="Q47" s="5"/>
      <c r="R47" s="5"/>
      <c r="S47" s="5"/>
      <c r="T47" s="5"/>
    </row>
    <row r="48" customFormat="false" ht="15" hidden="false" customHeight="true" outlineLevel="0" collapsed="false">
      <c r="A48" s="5" t="s">
        <v>1312</v>
      </c>
      <c r="B48" s="5" t="s">
        <v>1313</v>
      </c>
      <c r="C48" s="5" t="s">
        <v>619</v>
      </c>
      <c r="D48" s="5"/>
      <c r="E48" s="5"/>
      <c r="F48" s="5" t="n">
        <v>10</v>
      </c>
      <c r="G48" s="5" t="n">
        <v>1</v>
      </c>
      <c r="H48" s="5"/>
      <c r="I48" s="5" t="n">
        <v>11</v>
      </c>
      <c r="J48" s="6" t="n">
        <v>52998</v>
      </c>
      <c r="K48" s="6" t="n">
        <v>0</v>
      </c>
      <c r="L48" s="6" t="n">
        <v>0</v>
      </c>
      <c r="M48" s="6" t="n">
        <v>20150.62</v>
      </c>
      <c r="N48" s="6" t="n">
        <v>73148.62</v>
      </c>
      <c r="O48" s="5" t="s">
        <v>2323</v>
      </c>
      <c r="P48" s="5" t="s">
        <v>2323</v>
      </c>
      <c r="Q48" s="5" t="s">
        <v>2323</v>
      </c>
      <c r="R48" s="5" t="s">
        <v>2324</v>
      </c>
      <c r="S48" s="5"/>
      <c r="T48" s="5"/>
    </row>
    <row r="49" customFormat="false" ht="15" hidden="false" customHeight="true" outlineLevel="0" collapsed="false">
      <c r="A49" s="5" t="s">
        <v>1194</v>
      </c>
      <c r="B49" s="5" t="s">
        <v>1195</v>
      </c>
      <c r="C49" s="5" t="s">
        <v>619</v>
      </c>
      <c r="D49" s="5"/>
      <c r="E49" s="5"/>
      <c r="F49" s="5"/>
      <c r="G49" s="5"/>
      <c r="H49" s="5"/>
      <c r="I49" s="5" t="n">
        <v>0</v>
      </c>
      <c r="J49" s="6" t="n">
        <v>0</v>
      </c>
      <c r="K49" s="6" t="n">
        <v>0</v>
      </c>
      <c r="L49" s="6" t="n">
        <v>0</v>
      </c>
      <c r="M49" s="6" t="n">
        <v>0</v>
      </c>
      <c r="N49" s="6" t="n">
        <v>0</v>
      </c>
      <c r="O49" s="5"/>
      <c r="P49" s="5"/>
      <c r="Q49" s="5"/>
      <c r="R49" s="5"/>
      <c r="S49" s="5"/>
      <c r="T49" s="5"/>
    </row>
    <row r="50" customFormat="false" ht="15" hidden="false" customHeight="true" outlineLevel="0" collapsed="false">
      <c r="A50" s="5" t="s">
        <v>616</v>
      </c>
      <c r="B50" s="5" t="s">
        <v>617</v>
      </c>
      <c r="C50" s="5" t="s">
        <v>619</v>
      </c>
      <c r="D50" s="5"/>
      <c r="E50" s="5" t="n">
        <v>1</v>
      </c>
      <c r="F50" s="5"/>
      <c r="G50" s="5"/>
      <c r="H50" s="5"/>
      <c r="I50" s="5" t="n">
        <v>1</v>
      </c>
      <c r="J50" s="6" t="n">
        <v>3450</v>
      </c>
      <c r="K50" s="6" t="n">
        <v>0</v>
      </c>
      <c r="L50" s="6" t="n">
        <v>0</v>
      </c>
      <c r="M50" s="6" t="n">
        <v>0</v>
      </c>
      <c r="N50" s="6" t="n">
        <v>3450</v>
      </c>
      <c r="O50" s="5" t="s">
        <v>2323</v>
      </c>
      <c r="P50" s="5" t="s">
        <v>2323</v>
      </c>
      <c r="Q50" s="5" t="s">
        <v>2323</v>
      </c>
      <c r="R50" s="5" t="s">
        <v>2329</v>
      </c>
      <c r="S50" s="5"/>
      <c r="T50" s="5"/>
    </row>
    <row r="51" customFormat="false" ht="15" hidden="false" customHeight="true" outlineLevel="0" collapsed="false">
      <c r="A51" s="5" t="s">
        <v>1074</v>
      </c>
      <c r="B51" s="5" t="s">
        <v>1075</v>
      </c>
      <c r="C51" s="5" t="s">
        <v>619</v>
      </c>
      <c r="D51" s="5"/>
      <c r="E51" s="5" t="n">
        <v>2</v>
      </c>
      <c r="F51" s="5"/>
      <c r="G51" s="5" t="n">
        <v>9</v>
      </c>
      <c r="H51" s="5"/>
      <c r="I51" s="5" t="n">
        <v>11</v>
      </c>
      <c r="J51" s="6" t="n">
        <v>78882</v>
      </c>
      <c r="K51" s="6" t="n">
        <v>0</v>
      </c>
      <c r="L51" s="6" t="n">
        <v>0</v>
      </c>
      <c r="M51" s="6" t="n">
        <v>62349.84</v>
      </c>
      <c r="N51" s="6" t="n">
        <v>141231.84</v>
      </c>
      <c r="O51" s="5" t="s">
        <v>2323</v>
      </c>
      <c r="P51" s="5" t="s">
        <v>2323</v>
      </c>
      <c r="Q51" s="5" t="s">
        <v>2323</v>
      </c>
      <c r="R51" s="5" t="s">
        <v>2327</v>
      </c>
      <c r="S51" s="5"/>
      <c r="T51" s="5"/>
    </row>
    <row r="52" customFormat="false" ht="23.25" hidden="false" customHeight="true" outlineLevel="0" collapsed="false">
      <c r="A52" s="5" t="s">
        <v>2127</v>
      </c>
      <c r="B52" s="5" t="s">
        <v>2128</v>
      </c>
      <c r="C52" s="5" t="s">
        <v>619</v>
      </c>
      <c r="D52" s="5"/>
      <c r="E52" s="5"/>
      <c r="F52" s="5" t="n">
        <v>3</v>
      </c>
      <c r="G52" s="5" t="n">
        <v>13</v>
      </c>
      <c r="H52" s="5"/>
      <c r="I52" s="5" t="n">
        <v>16</v>
      </c>
      <c r="J52" s="6" t="n">
        <v>117474</v>
      </c>
      <c r="K52" s="6" t="n">
        <v>0</v>
      </c>
      <c r="L52" s="6" t="n">
        <v>0</v>
      </c>
      <c r="M52" s="6" t="n">
        <v>0</v>
      </c>
      <c r="N52" s="6" t="n">
        <v>117474</v>
      </c>
      <c r="O52" s="5" t="s">
        <v>2323</v>
      </c>
      <c r="P52" s="5" t="s">
        <v>2323</v>
      </c>
      <c r="Q52" s="5" t="s">
        <v>2323</v>
      </c>
      <c r="R52" s="5" t="s">
        <v>2325</v>
      </c>
      <c r="S52" s="9" t="n">
        <v>45978</v>
      </c>
      <c r="T52" s="9" t="n">
        <v>45992</v>
      </c>
    </row>
    <row r="53" customFormat="false" ht="23.25" hidden="false" customHeight="true" outlineLevel="0" collapsed="false">
      <c r="A53" s="5" t="s">
        <v>1429</v>
      </c>
      <c r="B53" s="5" t="s">
        <v>1430</v>
      </c>
      <c r="C53" s="5" t="s">
        <v>619</v>
      </c>
      <c r="D53" s="5"/>
      <c r="E53" s="5"/>
      <c r="F53" s="5"/>
      <c r="G53" s="5"/>
      <c r="H53" s="5"/>
      <c r="I53" s="5" t="n">
        <v>0</v>
      </c>
      <c r="J53" s="6" t="n">
        <v>0</v>
      </c>
      <c r="K53" s="6" t="n">
        <v>0</v>
      </c>
      <c r="L53" s="6" t="n">
        <v>0</v>
      </c>
      <c r="M53" s="6" t="n">
        <v>0</v>
      </c>
      <c r="N53" s="6" t="n">
        <v>0</v>
      </c>
      <c r="O53" s="5" t="s">
        <v>2323</v>
      </c>
      <c r="P53" s="5" t="s">
        <v>2323</v>
      </c>
      <c r="Q53" s="5" t="s">
        <v>2323</v>
      </c>
      <c r="R53" s="5" t="s">
        <v>2330</v>
      </c>
      <c r="S53" s="5" t="s">
        <v>728</v>
      </c>
      <c r="T53" s="5" t="s">
        <v>728</v>
      </c>
    </row>
    <row r="54" customFormat="false" ht="34.5" hidden="false" customHeight="true" outlineLevel="0" collapsed="false">
      <c r="A54" s="5" t="s">
        <v>317</v>
      </c>
      <c r="B54" s="5" t="s">
        <v>318</v>
      </c>
      <c r="C54" s="5" t="s">
        <v>57</v>
      </c>
      <c r="D54" s="5"/>
      <c r="E54" s="5"/>
      <c r="F54" s="5"/>
      <c r="G54" s="5" t="n">
        <v>9</v>
      </c>
      <c r="H54" s="5"/>
      <c r="I54" s="5" t="n">
        <v>9</v>
      </c>
      <c r="J54" s="6" t="n">
        <v>71982</v>
      </c>
      <c r="K54" s="6" t="n">
        <v>30139.9</v>
      </c>
      <c r="L54" s="6" t="n">
        <v>62265.7</v>
      </c>
      <c r="M54" s="6" t="n">
        <v>14496.54</v>
      </c>
      <c r="N54" s="6" t="n">
        <v>178884.14</v>
      </c>
      <c r="O54" s="5" t="s">
        <v>2323</v>
      </c>
      <c r="P54" s="5" t="s">
        <v>2323</v>
      </c>
      <c r="Q54" s="5" t="s">
        <v>2323</v>
      </c>
      <c r="R54" s="5" t="s">
        <v>2324</v>
      </c>
      <c r="S54" s="9" t="n">
        <v>45868</v>
      </c>
      <c r="T54" s="9" t="n">
        <v>45891</v>
      </c>
    </row>
    <row r="55" customFormat="false" ht="34.5" hidden="false" customHeight="true" outlineLevel="0" collapsed="false">
      <c r="A55" s="5" t="s">
        <v>542</v>
      </c>
      <c r="B55" s="5" t="s">
        <v>543</v>
      </c>
      <c r="C55" s="5" t="s">
        <v>57</v>
      </c>
      <c r="D55" s="5"/>
      <c r="E55" s="5"/>
      <c r="F55" s="5" t="n">
        <v>3</v>
      </c>
      <c r="G55" s="5" t="n">
        <v>1</v>
      </c>
      <c r="H55" s="5" t="n">
        <v>7</v>
      </c>
      <c r="I55" s="5" t="n">
        <v>11</v>
      </c>
      <c r="J55" s="6" t="n">
        <v>87690</v>
      </c>
      <c r="K55" s="6" t="n">
        <v>23018.37</v>
      </c>
      <c r="L55" s="6" t="n">
        <v>0</v>
      </c>
      <c r="M55" s="6" t="n">
        <v>27599.79</v>
      </c>
      <c r="N55" s="6" t="n">
        <v>138308.16</v>
      </c>
      <c r="O55" s="5" t="s">
        <v>2323</v>
      </c>
      <c r="P55" s="5" t="s">
        <v>2323</v>
      </c>
      <c r="Q55" s="5" t="s">
        <v>2323</v>
      </c>
      <c r="R55" s="5" t="s">
        <v>2324</v>
      </c>
      <c r="S55" s="9" t="n">
        <v>45897</v>
      </c>
      <c r="T55" s="9" t="n">
        <v>45910</v>
      </c>
    </row>
    <row r="56" customFormat="false" ht="23.25" hidden="false" customHeight="true" outlineLevel="0" collapsed="false">
      <c r="A56" s="5" t="s">
        <v>1762</v>
      </c>
      <c r="B56" s="5" t="s">
        <v>1763</v>
      </c>
      <c r="C56" s="5" t="s">
        <v>619</v>
      </c>
      <c r="D56" s="5"/>
      <c r="E56" s="5"/>
      <c r="F56" s="5" t="n">
        <v>1</v>
      </c>
      <c r="G56" s="5" t="n">
        <v>9</v>
      </c>
      <c r="H56" s="5" t="n">
        <v>3</v>
      </c>
      <c r="I56" s="5" t="n">
        <v>13</v>
      </c>
      <c r="J56" s="6" t="n">
        <v>104850</v>
      </c>
      <c r="K56" s="6" t="n">
        <v>0</v>
      </c>
      <c r="L56" s="6" t="n">
        <v>129359.81</v>
      </c>
      <c r="M56" s="6" t="n">
        <v>26225.51</v>
      </c>
      <c r="N56" s="6" t="n">
        <v>260435.32</v>
      </c>
      <c r="O56" s="5" t="s">
        <v>2323</v>
      </c>
      <c r="P56" s="5" t="s">
        <v>2323</v>
      </c>
      <c r="Q56" s="5" t="s">
        <v>2323</v>
      </c>
      <c r="R56" s="5" t="s">
        <v>2324</v>
      </c>
      <c r="S56" s="9" t="n">
        <v>45857</v>
      </c>
      <c r="T56" s="9" t="n">
        <v>45867</v>
      </c>
    </row>
    <row r="57" customFormat="false" ht="23.25" hidden="false" customHeight="true" outlineLevel="0" collapsed="false">
      <c r="A57" s="5" t="s">
        <v>948</v>
      </c>
      <c r="B57" s="5" t="s">
        <v>949</v>
      </c>
      <c r="C57" s="5" t="s">
        <v>619</v>
      </c>
      <c r="D57" s="5"/>
      <c r="E57" s="5"/>
      <c r="F57" s="5" t="n">
        <v>3</v>
      </c>
      <c r="G57" s="5" t="n">
        <v>6</v>
      </c>
      <c r="H57" s="5" t="n">
        <v>1</v>
      </c>
      <c r="I57" s="5" t="n">
        <v>10</v>
      </c>
      <c r="J57" s="6" t="n">
        <v>70944</v>
      </c>
      <c r="K57" s="6" t="n">
        <v>39879.31</v>
      </c>
      <c r="L57" s="6" t="n">
        <v>0</v>
      </c>
      <c r="M57" s="6" t="n">
        <v>21210.05</v>
      </c>
      <c r="N57" s="6" t="n">
        <v>132033.36</v>
      </c>
      <c r="O57" s="5" t="s">
        <v>2323</v>
      </c>
      <c r="P57" s="5" t="s">
        <v>2323</v>
      </c>
      <c r="Q57" s="5" t="s">
        <v>2323</v>
      </c>
      <c r="R57" s="5" t="s">
        <v>2324</v>
      </c>
      <c r="S57" s="9" t="n">
        <v>45863</v>
      </c>
      <c r="T57" s="9" t="n">
        <v>45868</v>
      </c>
    </row>
    <row r="58" customFormat="false" ht="23.25" hidden="false" customHeight="true" outlineLevel="0" collapsed="false">
      <c r="A58" s="5" t="s">
        <v>677</v>
      </c>
      <c r="B58" s="5" t="s">
        <v>678</v>
      </c>
      <c r="C58" s="5" t="s">
        <v>619</v>
      </c>
      <c r="D58" s="5" t="n">
        <v>1</v>
      </c>
      <c r="E58" s="5" t="n">
        <v>3</v>
      </c>
      <c r="F58" s="5" t="n">
        <v>1</v>
      </c>
      <c r="G58" s="5" t="n">
        <v>2</v>
      </c>
      <c r="H58" s="5"/>
      <c r="I58" s="5" t="n">
        <v>7</v>
      </c>
      <c r="J58" s="6" t="n">
        <v>33208</v>
      </c>
      <c r="K58" s="6" t="n">
        <v>8706.32</v>
      </c>
      <c r="L58" s="6" t="n">
        <v>8559.04</v>
      </c>
      <c r="M58" s="6" t="n">
        <v>11296.46</v>
      </c>
      <c r="N58" s="6" t="n">
        <v>61769.82</v>
      </c>
      <c r="O58" s="5" t="s">
        <v>2323</v>
      </c>
      <c r="P58" s="5" t="s">
        <v>2323</v>
      </c>
      <c r="Q58" s="5" t="s">
        <v>2323</v>
      </c>
      <c r="R58" s="5" t="s">
        <v>2325</v>
      </c>
      <c r="S58" s="9" t="n">
        <v>45870</v>
      </c>
      <c r="T58" s="9" t="n">
        <v>45872</v>
      </c>
    </row>
    <row r="59" customFormat="false" ht="23.25" hidden="false" customHeight="true" outlineLevel="0" collapsed="false">
      <c r="A59" s="5" t="s">
        <v>767</v>
      </c>
      <c r="B59" s="5" t="s">
        <v>768</v>
      </c>
      <c r="C59" s="5" t="s">
        <v>619</v>
      </c>
      <c r="D59" s="5"/>
      <c r="E59" s="5" t="n">
        <v>3</v>
      </c>
      <c r="F59" s="5" t="n">
        <v>5</v>
      </c>
      <c r="G59" s="5" t="n">
        <v>2</v>
      </c>
      <c r="H59" s="5" t="n">
        <v>1</v>
      </c>
      <c r="I59" s="5" t="n">
        <v>11</v>
      </c>
      <c r="J59" s="6" t="n">
        <v>58302</v>
      </c>
      <c r="K59" s="6" t="n">
        <v>24094.09</v>
      </c>
      <c r="L59" s="6" t="n">
        <v>84665.96</v>
      </c>
      <c r="M59" s="6" t="n">
        <v>20561.93</v>
      </c>
      <c r="N59" s="6" t="n">
        <v>187623.98</v>
      </c>
      <c r="O59" s="5" t="s">
        <v>2323</v>
      </c>
      <c r="P59" s="5" t="s">
        <v>2323</v>
      </c>
      <c r="Q59" s="5" t="s">
        <v>2323</v>
      </c>
      <c r="R59" s="5" t="s">
        <v>2325</v>
      </c>
      <c r="S59" s="9" t="n">
        <v>45870</v>
      </c>
      <c r="T59" s="9" t="n">
        <v>45872</v>
      </c>
    </row>
    <row r="60" customFormat="false" ht="23.25" hidden="false" customHeight="true" outlineLevel="0" collapsed="false">
      <c r="A60" s="5" t="s">
        <v>1738</v>
      </c>
      <c r="B60" s="5" t="s">
        <v>1739</v>
      </c>
      <c r="C60" s="5" t="s">
        <v>619</v>
      </c>
      <c r="D60" s="5"/>
      <c r="E60" s="5"/>
      <c r="F60" s="5" t="n">
        <v>1</v>
      </c>
      <c r="G60" s="5" t="n">
        <v>6</v>
      </c>
      <c r="H60" s="5"/>
      <c r="I60" s="5" t="n">
        <v>7</v>
      </c>
      <c r="J60" s="6" t="n">
        <v>52488</v>
      </c>
      <c r="K60" s="6" t="n">
        <v>0</v>
      </c>
      <c r="L60" s="6" t="n">
        <v>0</v>
      </c>
      <c r="M60" s="6" t="n">
        <v>13038.24</v>
      </c>
      <c r="N60" s="6" t="n">
        <v>65526.24</v>
      </c>
      <c r="O60" s="5" t="s">
        <v>2323</v>
      </c>
      <c r="P60" s="5" t="s">
        <v>2323</v>
      </c>
      <c r="Q60" s="5" t="s">
        <v>2323</v>
      </c>
      <c r="R60" s="5" t="s">
        <v>2324</v>
      </c>
      <c r="S60" s="9" t="n">
        <v>45861</v>
      </c>
      <c r="T60" s="9" t="n">
        <v>45874</v>
      </c>
    </row>
    <row r="61" customFormat="false" ht="23.25" hidden="false" customHeight="true" outlineLevel="0" collapsed="false">
      <c r="A61" s="5" t="s">
        <v>1415</v>
      </c>
      <c r="B61" s="5" t="s">
        <v>1416</v>
      </c>
      <c r="C61" s="5" t="s">
        <v>619</v>
      </c>
      <c r="D61" s="5" t="n">
        <v>4</v>
      </c>
      <c r="E61" s="5" t="n">
        <v>20</v>
      </c>
      <c r="F61" s="5"/>
      <c r="G61" s="5"/>
      <c r="H61" s="5"/>
      <c r="I61" s="5" t="n">
        <v>24</v>
      </c>
      <c r="J61" s="6" t="n">
        <v>78448</v>
      </c>
      <c r="K61" s="6" t="n">
        <v>15239.3</v>
      </c>
      <c r="L61" s="6" t="n">
        <v>20941.16</v>
      </c>
      <c r="M61" s="6" t="n">
        <v>26640.58</v>
      </c>
      <c r="N61" s="6" t="n">
        <v>141269.04</v>
      </c>
      <c r="O61" s="5" t="s">
        <v>2323</v>
      </c>
      <c r="P61" s="5" t="s">
        <v>2323</v>
      </c>
      <c r="Q61" s="5" t="s">
        <v>2323</v>
      </c>
      <c r="R61" s="5" t="s">
        <v>2325</v>
      </c>
      <c r="S61" s="9" t="n">
        <v>45873</v>
      </c>
      <c r="T61" s="9" t="n">
        <v>45875</v>
      </c>
    </row>
    <row r="62" customFormat="false" ht="23.25" hidden="false" customHeight="true" outlineLevel="0" collapsed="false">
      <c r="A62" s="5" t="s">
        <v>1169</v>
      </c>
      <c r="B62" s="5" t="s">
        <v>1170</v>
      </c>
      <c r="C62" s="5" t="s">
        <v>619</v>
      </c>
      <c r="D62" s="5" t="n">
        <v>1</v>
      </c>
      <c r="E62" s="5" t="n">
        <v>1</v>
      </c>
      <c r="F62" s="5"/>
      <c r="G62" s="5" t="n">
        <v>9</v>
      </c>
      <c r="H62" s="5"/>
      <c r="I62" s="5" t="n">
        <v>11</v>
      </c>
      <c r="J62" s="6" t="n">
        <v>77794</v>
      </c>
      <c r="K62" s="6" t="n">
        <v>56861.37</v>
      </c>
      <c r="L62" s="6" t="n">
        <v>0</v>
      </c>
      <c r="M62" s="6" t="n">
        <v>14731.7</v>
      </c>
      <c r="N62" s="6" t="n">
        <v>149387.07</v>
      </c>
      <c r="O62" s="5" t="s">
        <v>2323</v>
      </c>
      <c r="P62" s="5" t="s">
        <v>2323</v>
      </c>
      <c r="Q62" s="5" t="s">
        <v>2323</v>
      </c>
      <c r="R62" s="5" t="s">
        <v>2324</v>
      </c>
      <c r="S62" s="9" t="n">
        <v>45869</v>
      </c>
      <c r="T62" s="9" t="n">
        <v>45887</v>
      </c>
    </row>
    <row r="63" customFormat="false" ht="23.25" hidden="false" customHeight="true" outlineLevel="0" collapsed="false">
      <c r="A63" s="5" t="s">
        <v>1411</v>
      </c>
      <c r="B63" s="5" t="s">
        <v>1412</v>
      </c>
      <c r="C63" s="5" t="s">
        <v>619</v>
      </c>
      <c r="D63" s="5"/>
      <c r="E63" s="5" t="n">
        <v>1</v>
      </c>
      <c r="F63" s="5"/>
      <c r="G63" s="5" t="n">
        <v>5</v>
      </c>
      <c r="H63" s="5"/>
      <c r="I63" s="5" t="n">
        <v>6</v>
      </c>
      <c r="J63" s="6" t="n">
        <v>43440</v>
      </c>
      <c r="K63" s="6" t="n">
        <v>38860.77</v>
      </c>
      <c r="L63" s="6" t="n">
        <v>22984.91</v>
      </c>
      <c r="M63" s="6" t="n">
        <v>8999.58</v>
      </c>
      <c r="N63" s="6" t="n">
        <v>114285.26</v>
      </c>
      <c r="O63" s="5" t="s">
        <v>2323</v>
      </c>
      <c r="P63" s="5" t="s">
        <v>2323</v>
      </c>
      <c r="Q63" s="5" t="s">
        <v>2323</v>
      </c>
      <c r="R63" s="5" t="s">
        <v>2324</v>
      </c>
      <c r="S63" s="9" t="n">
        <v>45868</v>
      </c>
      <c r="T63" s="9" t="n">
        <v>45890</v>
      </c>
    </row>
    <row r="64" customFormat="false" ht="23.25" hidden="false" customHeight="true" outlineLevel="0" collapsed="false">
      <c r="A64" s="5" t="s">
        <v>930</v>
      </c>
      <c r="B64" s="5" t="s">
        <v>931</v>
      </c>
      <c r="C64" s="5" t="s">
        <v>619</v>
      </c>
      <c r="D64" s="5" t="n">
        <v>2</v>
      </c>
      <c r="E64" s="5" t="n">
        <v>2</v>
      </c>
      <c r="F64" s="5" t="n">
        <v>1</v>
      </c>
      <c r="G64" s="5" t="n">
        <v>8</v>
      </c>
      <c r="H64" s="5"/>
      <c r="I64" s="5" t="n">
        <v>13</v>
      </c>
      <c r="J64" s="6" t="n">
        <v>80108</v>
      </c>
      <c r="K64" s="6" t="n">
        <v>30607.83</v>
      </c>
      <c r="L64" s="6" t="n">
        <v>37176.08</v>
      </c>
      <c r="M64" s="6" t="n">
        <v>30101.74</v>
      </c>
      <c r="N64" s="6" t="n">
        <v>177993.65</v>
      </c>
      <c r="O64" s="5" t="s">
        <v>2323</v>
      </c>
      <c r="P64" s="5" t="s">
        <v>2323</v>
      </c>
      <c r="Q64" s="5" t="s">
        <v>2323</v>
      </c>
      <c r="R64" s="5" t="s">
        <v>2325</v>
      </c>
      <c r="S64" s="9" t="n">
        <v>45870</v>
      </c>
      <c r="T64" s="9" t="n">
        <v>45890</v>
      </c>
    </row>
    <row r="65" customFormat="false" ht="23.25" hidden="false" customHeight="true" outlineLevel="0" collapsed="false">
      <c r="A65" s="5" t="s">
        <v>1849</v>
      </c>
      <c r="B65" s="5" t="s">
        <v>1850</v>
      </c>
      <c r="C65" s="5" t="s">
        <v>619</v>
      </c>
      <c r="D65" s="5"/>
      <c r="E65" s="5" t="n">
        <v>3</v>
      </c>
      <c r="F65" s="5" t="n">
        <v>1</v>
      </c>
      <c r="G65" s="5" t="n">
        <v>11</v>
      </c>
      <c r="H65" s="5" t="n">
        <v>1</v>
      </c>
      <c r="I65" s="5" t="n">
        <v>16</v>
      </c>
      <c r="J65" s="6" t="n">
        <v>112284</v>
      </c>
      <c r="K65" s="6" t="n">
        <v>0</v>
      </c>
      <c r="L65" s="6" t="n">
        <v>20631.21</v>
      </c>
      <c r="M65" s="6" t="n">
        <v>21668.45</v>
      </c>
      <c r="N65" s="6" t="n">
        <v>154583.66</v>
      </c>
      <c r="O65" s="5" t="s">
        <v>2331</v>
      </c>
      <c r="P65" s="5" t="s">
        <v>2323</v>
      </c>
      <c r="Q65" s="5" t="s">
        <v>2323</v>
      </c>
      <c r="R65" s="5" t="s">
        <v>2324</v>
      </c>
      <c r="S65" s="9" t="n">
        <v>45868</v>
      </c>
      <c r="T65" s="9" t="n">
        <v>45891</v>
      </c>
    </row>
    <row r="66" customFormat="false" ht="23.25" hidden="false" customHeight="true" outlineLevel="0" collapsed="false">
      <c r="A66" s="5" t="s">
        <v>1800</v>
      </c>
      <c r="B66" s="5" t="s">
        <v>1801</v>
      </c>
      <c r="C66" s="5" t="s">
        <v>619</v>
      </c>
      <c r="D66" s="5"/>
      <c r="E66" s="5"/>
      <c r="F66" s="5" t="n">
        <v>13</v>
      </c>
      <c r="G66" s="5" t="n">
        <v>3</v>
      </c>
      <c r="H66" s="5"/>
      <c r="I66" s="5" t="n">
        <v>16</v>
      </c>
      <c r="J66" s="6" t="n">
        <v>82494</v>
      </c>
      <c r="K66" s="6" t="n">
        <v>46698.91</v>
      </c>
      <c r="L66" s="6" t="n">
        <v>9839.64</v>
      </c>
      <c r="M66" s="6" t="n">
        <v>24309.63</v>
      </c>
      <c r="N66" s="6" t="n">
        <v>163342.18</v>
      </c>
      <c r="O66" s="5" t="s">
        <v>2323</v>
      </c>
      <c r="P66" s="5" t="s">
        <v>2323</v>
      </c>
      <c r="Q66" s="5" t="s">
        <v>2323</v>
      </c>
      <c r="R66" s="5" t="s">
        <v>2325</v>
      </c>
      <c r="S66" s="9" t="n">
        <v>45873</v>
      </c>
      <c r="T66" s="9" t="n">
        <v>45897</v>
      </c>
    </row>
    <row r="67" customFormat="false" ht="23.25" hidden="false" customHeight="true" outlineLevel="0" collapsed="false">
      <c r="A67" s="5" t="s">
        <v>1990</v>
      </c>
      <c r="B67" s="5" t="s">
        <v>1991</v>
      </c>
      <c r="C67" s="5" t="s">
        <v>619</v>
      </c>
      <c r="D67" s="5" t="n">
        <v>7</v>
      </c>
      <c r="E67" s="5" t="n">
        <v>16</v>
      </c>
      <c r="F67" s="5"/>
      <c r="G67" s="5"/>
      <c r="H67" s="5"/>
      <c r="I67" s="5" t="n">
        <v>23</v>
      </c>
      <c r="J67" s="6" t="n">
        <v>71734</v>
      </c>
      <c r="K67" s="6" t="n">
        <v>0</v>
      </c>
      <c r="L67" s="6" t="n">
        <v>0</v>
      </c>
      <c r="M67" s="6" t="n">
        <v>0</v>
      </c>
      <c r="N67" s="6" t="n">
        <v>71734</v>
      </c>
      <c r="O67" s="5" t="s">
        <v>2323</v>
      </c>
      <c r="P67" s="5" t="s">
        <v>2323</v>
      </c>
      <c r="Q67" s="5" t="s">
        <v>2323</v>
      </c>
      <c r="R67" s="5" t="s">
        <v>2325</v>
      </c>
      <c r="S67" s="9" t="n">
        <v>45897</v>
      </c>
      <c r="T67" s="9" t="n">
        <v>45929</v>
      </c>
    </row>
    <row r="68" customFormat="false" ht="23.25" hidden="false" customHeight="true" outlineLevel="0" collapsed="false">
      <c r="A68" s="5" t="s">
        <v>1949</v>
      </c>
      <c r="B68" s="5" t="s">
        <v>1950</v>
      </c>
      <c r="C68" s="5" t="s">
        <v>619</v>
      </c>
      <c r="D68" s="5" t="n">
        <v>16</v>
      </c>
      <c r="E68" s="5" t="n">
        <v>1</v>
      </c>
      <c r="F68" s="5"/>
      <c r="G68" s="5" t="n">
        <v>6</v>
      </c>
      <c r="H68" s="5" t="n">
        <v>1</v>
      </c>
      <c r="I68" s="5" t="n">
        <v>24</v>
      </c>
      <c r="J68" s="6" t="n">
        <v>98686</v>
      </c>
      <c r="K68" s="6" t="n">
        <v>0</v>
      </c>
      <c r="L68" s="6" t="n">
        <v>145226.29</v>
      </c>
      <c r="M68" s="6" t="n">
        <v>46663.21</v>
      </c>
      <c r="N68" s="6" t="n">
        <v>290575.5</v>
      </c>
      <c r="O68" s="5" t="s">
        <v>2323</v>
      </c>
      <c r="P68" s="5" t="s">
        <v>2323</v>
      </c>
      <c r="Q68" s="5" t="s">
        <v>2323</v>
      </c>
      <c r="R68" s="5" t="s">
        <v>2324</v>
      </c>
      <c r="S68" s="9" t="n">
        <v>45915</v>
      </c>
      <c r="T68" s="9" t="n">
        <v>45964</v>
      </c>
    </row>
    <row r="69" customFormat="false" ht="23.25" hidden="false" customHeight="true" outlineLevel="0" collapsed="false">
      <c r="A69" s="5" t="s">
        <v>1825</v>
      </c>
      <c r="B69" s="5" t="s">
        <v>1826</v>
      </c>
      <c r="C69" s="5" t="s">
        <v>619</v>
      </c>
      <c r="D69" s="5"/>
      <c r="E69" s="5" t="n">
        <v>25</v>
      </c>
      <c r="F69" s="5"/>
      <c r="G69" s="5"/>
      <c r="H69" s="5"/>
      <c r="I69" s="5" t="n">
        <v>25</v>
      </c>
      <c r="J69" s="6" t="n">
        <v>86250</v>
      </c>
      <c r="K69" s="6" t="n">
        <v>0</v>
      </c>
      <c r="L69" s="6" t="n">
        <v>26253.1</v>
      </c>
      <c r="M69" s="6" t="n">
        <v>59116.92</v>
      </c>
      <c r="N69" s="6" t="n">
        <v>171620.02</v>
      </c>
      <c r="O69" s="5" t="s">
        <v>2323</v>
      </c>
      <c r="P69" s="5" t="s">
        <v>2323</v>
      </c>
      <c r="Q69" s="5" t="s">
        <v>2323</v>
      </c>
      <c r="R69" s="5" t="s">
        <v>2324</v>
      </c>
      <c r="S69" s="9" t="n">
        <v>45988</v>
      </c>
      <c r="T69" s="9" t="n">
        <v>46017</v>
      </c>
    </row>
    <row r="70" customFormat="false" ht="23.25" hidden="false" customHeight="true" outlineLevel="0" collapsed="false">
      <c r="A70" s="5" t="s">
        <v>1882</v>
      </c>
      <c r="B70" s="5" t="s">
        <v>1883</v>
      </c>
      <c r="C70" s="5" t="s">
        <v>619</v>
      </c>
      <c r="D70" s="5"/>
      <c r="E70" s="5"/>
      <c r="F70" s="5"/>
      <c r="G70" s="5"/>
      <c r="H70" s="5"/>
      <c r="I70" s="5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 t="n">
        <v>0</v>
      </c>
      <c r="O70" s="5" t="s">
        <v>2323</v>
      </c>
      <c r="P70" s="5" t="s">
        <v>2323</v>
      </c>
      <c r="Q70" s="5" t="s">
        <v>2323</v>
      </c>
      <c r="R70" s="5" t="s">
        <v>2329</v>
      </c>
      <c r="S70" s="5" t="s">
        <v>728</v>
      </c>
      <c r="T70" s="5" t="s">
        <v>728</v>
      </c>
    </row>
    <row r="71" customFormat="false" ht="34.5" hidden="false" customHeight="true" outlineLevel="0" collapsed="false">
      <c r="A71" s="5" t="s">
        <v>51</v>
      </c>
      <c r="B71" s="5" t="s">
        <v>53</v>
      </c>
      <c r="C71" s="5" t="s">
        <v>57</v>
      </c>
      <c r="D71" s="5"/>
      <c r="E71" s="5" t="n">
        <v>4</v>
      </c>
      <c r="F71" s="5" t="n">
        <v>3</v>
      </c>
      <c r="G71" s="5" t="n">
        <v>3</v>
      </c>
      <c r="H71" s="5" t="n">
        <v>1</v>
      </c>
      <c r="I71" s="5" t="n">
        <v>11</v>
      </c>
      <c r="J71" s="6" t="n">
        <v>60750</v>
      </c>
      <c r="K71" s="6" t="n">
        <v>54730.58</v>
      </c>
      <c r="L71" s="6" t="n">
        <v>14794.9</v>
      </c>
      <c r="M71" s="6" t="n">
        <v>25507.2</v>
      </c>
      <c r="N71" s="6" t="n">
        <v>155782.68</v>
      </c>
      <c r="O71" s="5" t="s">
        <v>2323</v>
      </c>
      <c r="P71" s="5" t="s">
        <v>2323</v>
      </c>
      <c r="Q71" s="5" t="s">
        <v>2323</v>
      </c>
      <c r="R71" s="5" t="s">
        <v>2325</v>
      </c>
      <c r="S71" s="9" t="n">
        <v>45870</v>
      </c>
      <c r="T71" s="9" t="n">
        <v>45872</v>
      </c>
    </row>
    <row r="72" customFormat="false" ht="34.5" hidden="false" customHeight="true" outlineLevel="0" collapsed="false">
      <c r="A72" s="5" t="s">
        <v>260</v>
      </c>
      <c r="B72" s="5" t="s">
        <v>261</v>
      </c>
      <c r="C72" s="5" t="s">
        <v>57</v>
      </c>
      <c r="D72" s="5"/>
      <c r="E72" s="5" t="n">
        <v>2</v>
      </c>
      <c r="F72" s="5" t="n">
        <v>4</v>
      </c>
      <c r="G72" s="5" t="n">
        <v>1</v>
      </c>
      <c r="H72" s="5"/>
      <c r="I72" s="5" t="n">
        <v>7</v>
      </c>
      <c r="J72" s="6" t="n">
        <v>32898</v>
      </c>
      <c r="K72" s="6" t="n">
        <v>0</v>
      </c>
      <c r="L72" s="6" t="n">
        <v>0</v>
      </c>
      <c r="M72" s="6" t="n">
        <v>14705.04</v>
      </c>
      <c r="N72" s="6" t="n">
        <v>47603.04</v>
      </c>
      <c r="O72" s="5" t="s">
        <v>2323</v>
      </c>
      <c r="P72" s="5" t="s">
        <v>2323</v>
      </c>
      <c r="Q72" s="5" t="s">
        <v>2323</v>
      </c>
      <c r="R72" s="5" t="s">
        <v>2325</v>
      </c>
      <c r="S72" s="9" t="n">
        <v>45885</v>
      </c>
      <c r="T72" s="9" t="n">
        <v>45894</v>
      </c>
    </row>
    <row r="73" customFormat="false" ht="34.5" hidden="false" customHeight="true" outlineLevel="0" collapsed="false">
      <c r="A73" s="5" t="s">
        <v>2196</v>
      </c>
      <c r="B73" s="5" t="s">
        <v>2332</v>
      </c>
      <c r="C73" s="5" t="s">
        <v>57</v>
      </c>
      <c r="D73" s="5" t="n">
        <v>2</v>
      </c>
      <c r="E73" s="5"/>
      <c r="F73" s="5" t="n">
        <v>5</v>
      </c>
      <c r="G73" s="5" t="n">
        <v>8</v>
      </c>
      <c r="H73" s="5"/>
      <c r="I73" s="5" t="n">
        <v>15</v>
      </c>
      <c r="J73" s="6" t="n">
        <v>91208</v>
      </c>
      <c r="K73" s="6" t="n">
        <v>25292.25</v>
      </c>
      <c r="L73" s="6" t="n">
        <v>198900.97</v>
      </c>
      <c r="M73" s="6" t="n">
        <v>17602.92</v>
      </c>
      <c r="N73" s="6" t="n">
        <v>333004.14</v>
      </c>
      <c r="O73" s="5" t="s">
        <v>2323</v>
      </c>
      <c r="P73" s="5" t="s">
        <v>2323</v>
      </c>
      <c r="Q73" s="5" t="s">
        <v>2323</v>
      </c>
      <c r="R73" s="5" t="s">
        <v>2324</v>
      </c>
      <c r="S73" s="9" t="n">
        <v>45885</v>
      </c>
      <c r="T73" s="9" t="n">
        <v>45902</v>
      </c>
    </row>
    <row r="74" customFormat="false" ht="34.5" hidden="false" customHeight="true" outlineLevel="0" collapsed="false">
      <c r="A74" s="5" t="s">
        <v>417</v>
      </c>
      <c r="B74" s="5" t="s">
        <v>418</v>
      </c>
      <c r="C74" s="5" t="s">
        <v>57</v>
      </c>
      <c r="D74" s="5" t="n">
        <v>3</v>
      </c>
      <c r="E74" s="5" t="n">
        <v>20</v>
      </c>
      <c r="F74" s="5"/>
      <c r="G74" s="5"/>
      <c r="H74" s="5"/>
      <c r="I74" s="5" t="n">
        <v>23</v>
      </c>
      <c r="J74" s="6" t="n">
        <v>76086</v>
      </c>
      <c r="K74" s="6" t="n">
        <v>58363.63</v>
      </c>
      <c r="L74" s="6" t="n">
        <v>20915.81</v>
      </c>
      <c r="M74" s="6" t="n">
        <v>28447.5</v>
      </c>
      <c r="N74" s="6" t="n">
        <v>183812.94</v>
      </c>
      <c r="O74" s="5" t="s">
        <v>2323</v>
      </c>
      <c r="P74" s="5" t="s">
        <v>2323</v>
      </c>
      <c r="Q74" s="5" t="s">
        <v>2323</v>
      </c>
      <c r="R74" s="5" t="s">
        <v>2325</v>
      </c>
      <c r="S74" s="9" t="n">
        <v>45973</v>
      </c>
      <c r="T74" s="9" t="n">
        <v>45978</v>
      </c>
    </row>
    <row r="75" customFormat="false" ht="34.5" hidden="false" customHeight="true" outlineLevel="0" collapsed="false">
      <c r="A75" s="5" t="s">
        <v>313</v>
      </c>
      <c r="B75" s="5" t="s">
        <v>314</v>
      </c>
      <c r="C75" s="5" t="s">
        <v>57</v>
      </c>
      <c r="D75" s="5"/>
      <c r="E75" s="5" t="n">
        <v>13</v>
      </c>
      <c r="F75" s="5"/>
      <c r="G75" s="5"/>
      <c r="H75" s="5"/>
      <c r="I75" s="5" t="n">
        <v>13</v>
      </c>
      <c r="J75" s="6" t="n">
        <v>44850</v>
      </c>
      <c r="K75" s="6" t="n">
        <v>0</v>
      </c>
      <c r="L75" s="6" t="n">
        <v>11421.4</v>
      </c>
      <c r="M75" s="6" t="n">
        <v>57479.41</v>
      </c>
      <c r="N75" s="6" t="n">
        <v>113750.81</v>
      </c>
      <c r="O75" s="5" t="s">
        <v>2323</v>
      </c>
      <c r="P75" s="5" t="s">
        <v>2323</v>
      </c>
      <c r="Q75" s="5" t="s">
        <v>2323</v>
      </c>
      <c r="R75" s="5" t="s">
        <v>2325</v>
      </c>
      <c r="S75" s="9" t="n">
        <v>45994</v>
      </c>
      <c r="T75" s="9" t="n">
        <v>45999</v>
      </c>
    </row>
    <row r="76" customFormat="false" ht="34.5" hidden="false" customHeight="true" outlineLevel="0" collapsed="false">
      <c r="A76" s="5" t="s">
        <v>550</v>
      </c>
      <c r="B76" s="5" t="s">
        <v>551</v>
      </c>
      <c r="C76" s="5" t="s">
        <v>57</v>
      </c>
      <c r="D76" s="5"/>
      <c r="E76" s="5"/>
      <c r="F76" s="5" t="n">
        <v>6</v>
      </c>
      <c r="G76" s="5"/>
      <c r="H76" s="5"/>
      <c r="I76" s="5" t="n">
        <v>6</v>
      </c>
      <c r="J76" s="6" t="n">
        <v>27000</v>
      </c>
      <c r="K76" s="6" t="n">
        <v>0</v>
      </c>
      <c r="L76" s="6" t="n">
        <v>0</v>
      </c>
      <c r="M76" s="6" t="n">
        <v>15897.67</v>
      </c>
      <c r="N76" s="6" t="n">
        <v>42897.67</v>
      </c>
      <c r="O76" s="5" t="s">
        <v>2323</v>
      </c>
      <c r="P76" s="5" t="s">
        <v>2323</v>
      </c>
      <c r="Q76" s="5" t="s">
        <v>2323</v>
      </c>
      <c r="R76" s="5" t="s">
        <v>2325</v>
      </c>
      <c r="S76" s="9" t="n">
        <v>46000</v>
      </c>
      <c r="T76" s="9" t="n">
        <v>46017</v>
      </c>
    </row>
    <row r="77" customFormat="false" ht="34.5" hidden="false" customHeight="true" outlineLevel="0" collapsed="false">
      <c r="A77" s="5" t="s">
        <v>304</v>
      </c>
      <c r="B77" s="5" t="s">
        <v>305</v>
      </c>
      <c r="C77" s="5" t="s">
        <v>57</v>
      </c>
      <c r="D77" s="5"/>
      <c r="E77" s="5"/>
      <c r="F77" s="5" t="n">
        <v>6</v>
      </c>
      <c r="G77" s="5"/>
      <c r="H77" s="5"/>
      <c r="I77" s="5" t="n">
        <v>6</v>
      </c>
      <c r="J77" s="6" t="n">
        <v>27000</v>
      </c>
      <c r="K77" s="6" t="n">
        <v>0</v>
      </c>
      <c r="L77" s="6" t="n">
        <v>0</v>
      </c>
      <c r="M77" s="6" t="n">
        <v>13434.81</v>
      </c>
      <c r="N77" s="6" t="n">
        <v>40434.81</v>
      </c>
      <c r="O77" s="5" t="s">
        <v>2323</v>
      </c>
      <c r="P77" s="5" t="s">
        <v>2323</v>
      </c>
      <c r="Q77" s="5" t="s">
        <v>2323</v>
      </c>
      <c r="R77" s="5" t="s">
        <v>2325</v>
      </c>
      <c r="S77" s="9" t="n">
        <v>46000</v>
      </c>
      <c r="T77" s="9" t="n">
        <v>46017</v>
      </c>
    </row>
    <row r="78" customFormat="false" ht="23.25" hidden="false" customHeight="true" outlineLevel="0" collapsed="false">
      <c r="A78" s="5" t="s">
        <v>444</v>
      </c>
      <c r="B78" s="5" t="s">
        <v>445</v>
      </c>
      <c r="C78" s="5" t="s">
        <v>41</v>
      </c>
      <c r="D78" s="5" t="n">
        <v>3</v>
      </c>
      <c r="E78" s="5" t="n">
        <v>4</v>
      </c>
      <c r="F78" s="5" t="n">
        <v>2</v>
      </c>
      <c r="G78" s="5"/>
      <c r="H78" s="5"/>
      <c r="I78" s="5" t="n">
        <v>9</v>
      </c>
      <c r="J78" s="5"/>
      <c r="K78" s="5"/>
      <c r="L78" s="5"/>
      <c r="M78" s="5"/>
      <c r="N78" s="6" t="n">
        <v>0</v>
      </c>
      <c r="O78" s="5" t="s">
        <v>2328</v>
      </c>
      <c r="P78" s="5" t="s">
        <v>2328</v>
      </c>
      <c r="Q78" s="5" t="s">
        <v>2328</v>
      </c>
      <c r="R78" s="5"/>
      <c r="S78" s="5"/>
      <c r="T78" s="5"/>
    </row>
    <row r="79" customFormat="false" ht="15" hidden="false" customHeight="true" outlineLevel="0" collapsed="false">
      <c r="A79" s="5" t="s">
        <v>1220</v>
      </c>
      <c r="B79" s="5" t="s">
        <v>1221</v>
      </c>
      <c r="C79" s="5" t="s">
        <v>41</v>
      </c>
      <c r="D79" s="5" t="n">
        <v>2</v>
      </c>
      <c r="E79" s="5" t="n">
        <v>1</v>
      </c>
      <c r="F79" s="5" t="n">
        <v>3</v>
      </c>
      <c r="G79" s="5"/>
      <c r="H79" s="5" t="n">
        <v>4</v>
      </c>
      <c r="I79" s="5" t="n">
        <v>10</v>
      </c>
      <c r="J79" s="5"/>
      <c r="K79" s="5"/>
      <c r="L79" s="5"/>
      <c r="M79" s="5"/>
      <c r="N79" s="6" t="n">
        <v>0</v>
      </c>
      <c r="O79" s="5" t="s">
        <v>2328</v>
      </c>
      <c r="P79" s="5" t="s">
        <v>2328</v>
      </c>
      <c r="Q79" s="5" t="s">
        <v>2328</v>
      </c>
      <c r="R79" s="5"/>
      <c r="S79" s="5"/>
      <c r="T79" s="5"/>
    </row>
    <row r="80" customFormat="false" ht="23.25" hidden="false" customHeight="true" outlineLevel="0" collapsed="false">
      <c r="A80" s="5" t="s">
        <v>406</v>
      </c>
      <c r="B80" s="5" t="s">
        <v>407</v>
      </c>
      <c r="C80" s="5" t="s">
        <v>41</v>
      </c>
      <c r="D80" s="5"/>
      <c r="E80" s="5"/>
      <c r="F80" s="5"/>
      <c r="G80" s="5"/>
      <c r="H80" s="5"/>
      <c r="I80" s="5" t="n">
        <v>0</v>
      </c>
      <c r="J80" s="5"/>
      <c r="K80" s="5"/>
      <c r="L80" s="5"/>
      <c r="M80" s="5"/>
      <c r="N80" s="6" t="n">
        <v>0</v>
      </c>
      <c r="O80" s="5" t="s">
        <v>2328</v>
      </c>
      <c r="P80" s="5" t="s">
        <v>2328</v>
      </c>
      <c r="Q80" s="5" t="s">
        <v>2328</v>
      </c>
      <c r="R80" s="5"/>
      <c r="S80" s="5"/>
      <c r="T80" s="5"/>
    </row>
    <row r="81" customFormat="false" ht="23.25" hidden="false" customHeight="true" outlineLevel="0" collapsed="false">
      <c r="A81" s="5" t="s">
        <v>1682</v>
      </c>
      <c r="B81" s="5" t="s">
        <v>2333</v>
      </c>
      <c r="C81" s="5" t="s">
        <v>41</v>
      </c>
      <c r="D81" s="5"/>
      <c r="E81" s="5" t="n">
        <v>2</v>
      </c>
      <c r="F81" s="5" t="n">
        <v>32</v>
      </c>
      <c r="G81" s="5"/>
      <c r="H81" s="5"/>
      <c r="I81" s="5" t="n">
        <v>34</v>
      </c>
      <c r="J81" s="5"/>
      <c r="K81" s="5"/>
      <c r="L81" s="5"/>
      <c r="M81" s="5"/>
      <c r="N81" s="6" t="n">
        <v>0</v>
      </c>
      <c r="O81" s="5" t="s">
        <v>2328</v>
      </c>
      <c r="P81" s="5" t="s">
        <v>2328</v>
      </c>
      <c r="Q81" s="5" t="s">
        <v>2328</v>
      </c>
      <c r="R81" s="5"/>
      <c r="S81" s="5"/>
      <c r="T81" s="5"/>
    </row>
    <row r="82" customFormat="false" ht="15" hidden="false" customHeight="true" outlineLevel="0" collapsed="false">
      <c r="A82" s="5" t="s">
        <v>471</v>
      </c>
      <c r="B82" s="5" t="s">
        <v>472</v>
      </c>
      <c r="C82" s="5" t="s">
        <v>41</v>
      </c>
      <c r="D82" s="5" t="n">
        <v>6</v>
      </c>
      <c r="E82" s="5" t="n">
        <v>2</v>
      </c>
      <c r="F82" s="5"/>
      <c r="G82" s="5"/>
      <c r="H82" s="5"/>
      <c r="I82" s="5" t="n">
        <v>8</v>
      </c>
      <c r="J82" s="5"/>
      <c r="K82" s="5"/>
      <c r="L82" s="5"/>
      <c r="M82" s="5"/>
      <c r="N82" s="6" t="n">
        <v>0</v>
      </c>
      <c r="O82" s="5" t="s">
        <v>2328</v>
      </c>
      <c r="P82" s="5" t="s">
        <v>2328</v>
      </c>
      <c r="Q82" s="5" t="s">
        <v>2328</v>
      </c>
      <c r="R82" s="5"/>
      <c r="S82" s="5"/>
      <c r="T82" s="5"/>
    </row>
    <row r="83" customFormat="false" ht="15" hidden="false" customHeight="true" outlineLevel="0" collapsed="false">
      <c r="A83" s="5" t="s">
        <v>582</v>
      </c>
      <c r="B83" s="5" t="s">
        <v>583</v>
      </c>
      <c r="C83" s="5" t="s">
        <v>41</v>
      </c>
      <c r="D83" s="5" t="n">
        <v>17</v>
      </c>
      <c r="E83" s="5" t="n">
        <v>8</v>
      </c>
      <c r="F83" s="5"/>
      <c r="G83" s="5"/>
      <c r="H83" s="5"/>
      <c r="I83" s="5" t="n">
        <v>25</v>
      </c>
      <c r="J83" s="5"/>
      <c r="K83" s="5"/>
      <c r="L83" s="5"/>
      <c r="M83" s="5"/>
      <c r="N83" s="6" t="n">
        <v>0</v>
      </c>
      <c r="O83" s="5" t="s">
        <v>2328</v>
      </c>
      <c r="P83" s="5" t="s">
        <v>2328</v>
      </c>
      <c r="Q83" s="5" t="s">
        <v>2328</v>
      </c>
      <c r="R83" s="5"/>
      <c r="S83" s="5"/>
      <c r="T83" s="5"/>
    </row>
    <row r="84" customFormat="false" ht="15" hidden="false" customHeight="true" outlineLevel="0" collapsed="false">
      <c r="A84" s="5" t="s">
        <v>35</v>
      </c>
      <c r="B84" s="5" t="s">
        <v>37</v>
      </c>
      <c r="C84" s="5" t="s">
        <v>41</v>
      </c>
      <c r="D84" s="5"/>
      <c r="E84" s="5"/>
      <c r="F84" s="5"/>
      <c r="G84" s="5"/>
      <c r="H84" s="5"/>
      <c r="I84" s="5" t="n">
        <v>0</v>
      </c>
      <c r="J84" s="5"/>
      <c r="K84" s="5"/>
      <c r="L84" s="5"/>
      <c r="M84" s="5"/>
      <c r="N84" s="6" t="n">
        <v>0</v>
      </c>
      <c r="O84" s="5" t="s">
        <v>2328</v>
      </c>
      <c r="P84" s="5" t="s">
        <v>2328</v>
      </c>
      <c r="Q84" s="5" t="s">
        <v>2328</v>
      </c>
      <c r="R84" s="5"/>
      <c r="S84" s="5"/>
      <c r="T84" s="5"/>
    </row>
    <row r="85" customFormat="false" ht="15" hidden="false" customHeight="true" outlineLevel="0" collapsed="false">
      <c r="A85" s="5" t="s">
        <v>1024</v>
      </c>
      <c r="B85" s="5" t="s">
        <v>1025</v>
      </c>
      <c r="C85" s="5" t="s">
        <v>41</v>
      </c>
      <c r="D85" s="5" t="n">
        <v>2</v>
      </c>
      <c r="E85" s="5" t="n">
        <v>13</v>
      </c>
      <c r="F85" s="5"/>
      <c r="G85" s="5"/>
      <c r="H85" s="5"/>
      <c r="I85" s="5" t="n">
        <v>15</v>
      </c>
      <c r="J85" s="5"/>
      <c r="K85" s="5"/>
      <c r="L85" s="5"/>
      <c r="M85" s="5"/>
      <c r="N85" s="6" t="n">
        <v>0</v>
      </c>
      <c r="O85" s="5" t="s">
        <v>2328</v>
      </c>
      <c r="P85" s="5" t="s">
        <v>2328</v>
      </c>
      <c r="Q85" s="5" t="s">
        <v>2328</v>
      </c>
      <c r="R85" s="5"/>
      <c r="S85" s="5"/>
      <c r="T85" s="5"/>
    </row>
    <row r="86" customFormat="false" ht="23.25" hidden="false" customHeight="true" outlineLevel="0" collapsed="false">
      <c r="A86" s="5" t="s">
        <v>594</v>
      </c>
      <c r="B86" s="5" t="s">
        <v>595</v>
      </c>
      <c r="C86" s="5" t="s">
        <v>41</v>
      </c>
      <c r="D86" s="5"/>
      <c r="E86" s="5"/>
      <c r="F86" s="5"/>
      <c r="G86" s="5"/>
      <c r="H86" s="5"/>
      <c r="I86" s="5" t="n">
        <v>0</v>
      </c>
      <c r="J86" s="5"/>
      <c r="K86" s="5"/>
      <c r="L86" s="5"/>
      <c r="M86" s="5"/>
      <c r="N86" s="6" t="n">
        <v>0</v>
      </c>
      <c r="O86" s="5" t="s">
        <v>2328</v>
      </c>
      <c r="P86" s="5" t="s">
        <v>2328</v>
      </c>
      <c r="Q86" s="5" t="s">
        <v>2328</v>
      </c>
      <c r="R86" s="5"/>
      <c r="S86" s="5"/>
      <c r="T86" s="5"/>
    </row>
    <row r="87" customFormat="false" ht="23.25" hidden="false" customHeight="true" outlineLevel="0" collapsed="false">
      <c r="A87" s="5" t="s">
        <v>1703</v>
      </c>
      <c r="B87" s="5" t="s">
        <v>1704</v>
      </c>
      <c r="C87" s="5" t="s">
        <v>41</v>
      </c>
      <c r="D87" s="5"/>
      <c r="E87" s="5" t="n">
        <v>1</v>
      </c>
      <c r="F87" s="5" t="n">
        <v>18</v>
      </c>
      <c r="G87" s="5" t="n">
        <v>4</v>
      </c>
      <c r="H87" s="5"/>
      <c r="I87" s="5" t="n">
        <v>23</v>
      </c>
      <c r="J87" s="5"/>
      <c r="K87" s="5"/>
      <c r="L87" s="5"/>
      <c r="M87" s="5"/>
      <c r="N87" s="6" t="n">
        <v>0</v>
      </c>
      <c r="O87" s="5" t="s">
        <v>2328</v>
      </c>
      <c r="P87" s="5" t="s">
        <v>2328</v>
      </c>
      <c r="Q87" s="5" t="s">
        <v>2328</v>
      </c>
      <c r="R87" s="5"/>
      <c r="S87" s="5"/>
      <c r="T87" s="5"/>
    </row>
    <row r="88" customFormat="false" ht="23.25" hidden="false" customHeight="true" outlineLevel="0" collapsed="false">
      <c r="A88" s="5" t="s">
        <v>579</v>
      </c>
      <c r="B88" s="5" t="s">
        <v>580</v>
      </c>
      <c r="C88" s="5" t="s">
        <v>41</v>
      </c>
      <c r="D88" s="5"/>
      <c r="E88" s="5"/>
      <c r="F88" s="5"/>
      <c r="G88" s="5"/>
      <c r="H88" s="5"/>
      <c r="I88" s="5" t="n">
        <v>0</v>
      </c>
      <c r="J88" s="5"/>
      <c r="K88" s="5"/>
      <c r="L88" s="5"/>
      <c r="M88" s="5"/>
      <c r="N88" s="6" t="n">
        <v>0</v>
      </c>
      <c r="O88" s="5" t="s">
        <v>2328</v>
      </c>
      <c r="P88" s="5" t="s">
        <v>2328</v>
      </c>
      <c r="Q88" s="5" t="s">
        <v>2328</v>
      </c>
      <c r="R88" s="5"/>
      <c r="S88" s="5"/>
      <c r="T88" s="5"/>
    </row>
    <row r="89" customFormat="false" ht="15" hidden="false" customHeight="true" outlineLevel="0" collapsed="false">
      <c r="A89" s="5" t="s">
        <v>805</v>
      </c>
      <c r="B89" s="5" t="s">
        <v>806</v>
      </c>
      <c r="C89" s="5" t="s">
        <v>41</v>
      </c>
      <c r="D89" s="5"/>
      <c r="E89" s="5"/>
      <c r="F89" s="5"/>
      <c r="G89" s="5"/>
      <c r="H89" s="5"/>
      <c r="I89" s="5" t="n">
        <v>0</v>
      </c>
      <c r="J89" s="5"/>
      <c r="K89" s="5"/>
      <c r="L89" s="5"/>
      <c r="M89" s="5"/>
      <c r="N89" s="6" t="n">
        <v>0</v>
      </c>
      <c r="O89" s="5" t="s">
        <v>2328</v>
      </c>
      <c r="P89" s="5" t="s">
        <v>2328</v>
      </c>
      <c r="Q89" s="5" t="s">
        <v>2328</v>
      </c>
      <c r="R89" s="5"/>
      <c r="S89" s="5"/>
      <c r="T89" s="5"/>
    </row>
    <row r="90" customFormat="false" ht="23.25" hidden="false" customHeight="true" outlineLevel="0" collapsed="false">
      <c r="A90" s="5" t="s">
        <v>1561</v>
      </c>
      <c r="B90" s="5" t="s">
        <v>1562</v>
      </c>
      <c r="C90" s="5" t="s">
        <v>41</v>
      </c>
      <c r="D90" s="5"/>
      <c r="E90" s="5" t="n">
        <v>6</v>
      </c>
      <c r="F90" s="5" t="n">
        <v>4</v>
      </c>
      <c r="G90" s="5"/>
      <c r="H90" s="5"/>
      <c r="I90" s="5" t="n">
        <v>10</v>
      </c>
      <c r="J90" s="5"/>
      <c r="K90" s="5"/>
      <c r="L90" s="5"/>
      <c r="M90" s="5"/>
      <c r="N90" s="6" t="n">
        <v>0</v>
      </c>
      <c r="O90" s="5" t="s">
        <v>2328</v>
      </c>
      <c r="P90" s="5" t="s">
        <v>2328</v>
      </c>
      <c r="Q90" s="5" t="s">
        <v>2328</v>
      </c>
      <c r="R90" s="5"/>
      <c r="S90" s="5"/>
      <c r="T90" s="5"/>
    </row>
    <row r="91" customFormat="false" ht="23.25" hidden="false" customHeight="true" outlineLevel="0" collapsed="false">
      <c r="A91" s="5" t="s">
        <v>1568</v>
      </c>
      <c r="B91" s="5" t="s">
        <v>1569</v>
      </c>
      <c r="C91" s="5" t="s">
        <v>41</v>
      </c>
      <c r="D91" s="5"/>
      <c r="E91" s="5"/>
      <c r="F91" s="5"/>
      <c r="G91" s="5"/>
      <c r="H91" s="5" t="n">
        <v>12</v>
      </c>
      <c r="I91" s="5" t="n">
        <v>12</v>
      </c>
      <c r="J91" s="5"/>
      <c r="K91" s="5"/>
      <c r="L91" s="5"/>
      <c r="M91" s="5"/>
      <c r="N91" s="6" t="n">
        <v>0</v>
      </c>
      <c r="O91" s="5" t="s">
        <v>2328</v>
      </c>
      <c r="P91" s="5" t="s">
        <v>2328</v>
      </c>
      <c r="Q91" s="5" t="s">
        <v>2328</v>
      </c>
      <c r="R91" s="5"/>
      <c r="S91" s="5"/>
      <c r="T91" s="5"/>
    </row>
    <row r="92" customFormat="false" ht="15" hidden="false" customHeight="true" outlineLevel="0" collapsed="false">
      <c r="A92" s="5" t="s">
        <v>1035</v>
      </c>
      <c r="B92" s="5" t="s">
        <v>1036</v>
      </c>
      <c r="C92" s="5" t="s">
        <v>41</v>
      </c>
      <c r="D92" s="5" t="n">
        <v>15</v>
      </c>
      <c r="E92" s="5" t="n">
        <v>1</v>
      </c>
      <c r="F92" s="5"/>
      <c r="G92" s="5"/>
      <c r="H92" s="5"/>
      <c r="I92" s="5" t="n">
        <v>16</v>
      </c>
      <c r="J92" s="5"/>
      <c r="K92" s="5"/>
      <c r="L92" s="5"/>
      <c r="M92" s="5"/>
      <c r="N92" s="6" t="n">
        <v>0</v>
      </c>
      <c r="O92" s="5" t="s">
        <v>2328</v>
      </c>
      <c r="P92" s="5" t="s">
        <v>2328</v>
      </c>
      <c r="Q92" s="5" t="s">
        <v>2328</v>
      </c>
      <c r="R92" s="5"/>
      <c r="S92" s="5"/>
      <c r="T92" s="5"/>
    </row>
    <row r="93" customFormat="false" ht="23.25" hidden="false" customHeight="true" outlineLevel="0" collapsed="false">
      <c r="A93" s="5" t="s">
        <v>1045</v>
      </c>
      <c r="B93" s="5" t="s">
        <v>1046</v>
      </c>
      <c r="C93" s="5" t="s">
        <v>41</v>
      </c>
      <c r="D93" s="5" t="n">
        <v>14</v>
      </c>
      <c r="E93" s="5"/>
      <c r="F93" s="5"/>
      <c r="G93" s="5"/>
      <c r="H93" s="5"/>
      <c r="I93" s="5" t="n">
        <v>14</v>
      </c>
      <c r="J93" s="5"/>
      <c r="K93" s="5"/>
      <c r="L93" s="5"/>
      <c r="M93" s="5"/>
      <c r="N93" s="6" t="n">
        <v>0</v>
      </c>
      <c r="O93" s="5" t="s">
        <v>2328</v>
      </c>
      <c r="P93" s="5" t="s">
        <v>2328</v>
      </c>
      <c r="Q93" s="5" t="s">
        <v>2328</v>
      </c>
      <c r="R93" s="5"/>
      <c r="S93" s="5"/>
      <c r="T93" s="5"/>
    </row>
    <row r="94" customFormat="false" ht="15" hidden="false" customHeight="true" outlineLevel="0" collapsed="false">
      <c r="A94" s="5" t="s">
        <v>433</v>
      </c>
      <c r="B94" s="5" t="s">
        <v>434</v>
      </c>
      <c r="C94" s="5" t="s">
        <v>41</v>
      </c>
      <c r="D94" s="5" t="n">
        <v>6</v>
      </c>
      <c r="E94" s="5" t="n">
        <v>1</v>
      </c>
      <c r="F94" s="5"/>
      <c r="G94" s="5"/>
      <c r="H94" s="5"/>
      <c r="I94" s="5" t="n">
        <v>7</v>
      </c>
      <c r="J94" s="5"/>
      <c r="K94" s="5"/>
      <c r="L94" s="5"/>
      <c r="M94" s="5"/>
      <c r="N94" s="6" t="n">
        <v>0</v>
      </c>
      <c r="O94" s="5" t="s">
        <v>2328</v>
      </c>
      <c r="P94" s="5" t="s">
        <v>2328</v>
      </c>
      <c r="Q94" s="5" t="s">
        <v>2328</v>
      </c>
      <c r="R94" s="5"/>
      <c r="S94" s="5"/>
      <c r="T94" s="5"/>
    </row>
    <row r="95" customFormat="false" ht="15" hidden="false" customHeight="true" outlineLevel="0" collapsed="false">
      <c r="A95" s="5" t="s">
        <v>514</v>
      </c>
      <c r="B95" s="5" t="s">
        <v>515</v>
      </c>
      <c r="C95" s="5" t="s">
        <v>41</v>
      </c>
      <c r="D95" s="5" t="n">
        <v>11</v>
      </c>
      <c r="E95" s="5" t="n">
        <v>2</v>
      </c>
      <c r="F95" s="5" t="n">
        <v>2</v>
      </c>
      <c r="G95" s="5"/>
      <c r="H95" s="5"/>
      <c r="I95" s="5" t="n">
        <v>15</v>
      </c>
      <c r="J95" s="5"/>
      <c r="K95" s="5"/>
      <c r="L95" s="5"/>
      <c r="M95" s="5"/>
      <c r="N95" s="6" t="n">
        <v>0</v>
      </c>
      <c r="O95" s="5" t="s">
        <v>2328</v>
      </c>
      <c r="P95" s="5" t="s">
        <v>2328</v>
      </c>
      <c r="Q95" s="5" t="s">
        <v>2328</v>
      </c>
      <c r="R95" s="5"/>
      <c r="S95" s="5"/>
      <c r="T95" s="5"/>
    </row>
    <row r="96" customFormat="false" ht="34.5" hidden="false" customHeight="true" outlineLevel="0" collapsed="false">
      <c r="A96" s="5" t="s">
        <v>274</v>
      </c>
      <c r="B96" s="5" t="s">
        <v>276</v>
      </c>
      <c r="C96" s="5" t="s">
        <v>41</v>
      </c>
      <c r="D96" s="5"/>
      <c r="E96" s="5"/>
      <c r="F96" s="5"/>
      <c r="G96" s="5"/>
      <c r="H96" s="5"/>
      <c r="I96" s="5" t="n">
        <v>0</v>
      </c>
      <c r="J96" s="5"/>
      <c r="K96" s="5"/>
      <c r="L96" s="5"/>
      <c r="M96" s="5"/>
      <c r="N96" s="6" t="n">
        <v>0</v>
      </c>
      <c r="O96" s="5" t="s">
        <v>2328</v>
      </c>
      <c r="P96" s="5" t="s">
        <v>2328</v>
      </c>
      <c r="Q96" s="5" t="s">
        <v>2328</v>
      </c>
      <c r="R96" s="5"/>
      <c r="S96" s="5"/>
      <c r="T96" s="5"/>
    </row>
    <row r="97" customFormat="false" ht="15" hidden="false" customHeight="true" outlineLevel="0" collapsed="false">
      <c r="A97" s="5" t="s">
        <v>851</v>
      </c>
      <c r="B97" s="5" t="s">
        <v>852</v>
      </c>
      <c r="C97" s="5" t="s">
        <v>41</v>
      </c>
      <c r="D97" s="5" t="n">
        <v>13</v>
      </c>
      <c r="E97" s="5" t="n">
        <v>1</v>
      </c>
      <c r="F97" s="5"/>
      <c r="G97" s="5"/>
      <c r="H97" s="5"/>
      <c r="I97" s="5" t="n">
        <v>14</v>
      </c>
      <c r="J97" s="5"/>
      <c r="K97" s="5"/>
      <c r="L97" s="5"/>
      <c r="M97" s="5"/>
      <c r="N97" s="6" t="n">
        <v>0</v>
      </c>
      <c r="O97" s="5" t="s">
        <v>2328</v>
      </c>
      <c r="P97" s="5" t="s">
        <v>2328</v>
      </c>
      <c r="Q97" s="5" t="s">
        <v>2328</v>
      </c>
      <c r="R97" s="5"/>
      <c r="S97" s="5"/>
      <c r="T97" s="5"/>
    </row>
    <row r="98" customFormat="false" ht="23.25" hidden="false" customHeight="true" outlineLevel="0" collapsed="false">
      <c r="A98" s="5" t="s">
        <v>1325</v>
      </c>
      <c r="B98" s="5" t="s">
        <v>1326</v>
      </c>
      <c r="C98" s="5" t="s">
        <v>41</v>
      </c>
      <c r="D98" s="5"/>
      <c r="E98" s="5" t="n">
        <v>1</v>
      </c>
      <c r="F98" s="5"/>
      <c r="G98" s="5" t="n">
        <v>1</v>
      </c>
      <c r="H98" s="5" t="n">
        <v>1</v>
      </c>
      <c r="I98" s="5" t="n">
        <v>3</v>
      </c>
      <c r="J98" s="5"/>
      <c r="K98" s="5"/>
      <c r="L98" s="5"/>
      <c r="M98" s="5"/>
      <c r="N98" s="6" t="n">
        <v>0</v>
      </c>
      <c r="O98" s="5" t="s">
        <v>2328</v>
      </c>
      <c r="P98" s="5" t="s">
        <v>2328</v>
      </c>
      <c r="Q98" s="5" t="s">
        <v>2328</v>
      </c>
      <c r="R98" s="5"/>
      <c r="S98" s="5"/>
      <c r="T98" s="5"/>
    </row>
    <row r="99" customFormat="false" ht="15" hidden="false" customHeight="true" outlineLevel="0" collapsed="false">
      <c r="A99" s="5" t="s">
        <v>799</v>
      </c>
      <c r="B99" s="5" t="s">
        <v>800</v>
      </c>
      <c r="C99" s="5" t="s">
        <v>41</v>
      </c>
      <c r="D99" s="5"/>
      <c r="E99" s="5" t="n">
        <v>21</v>
      </c>
      <c r="F99" s="5" t="n">
        <v>1</v>
      </c>
      <c r="G99" s="5"/>
      <c r="H99" s="5"/>
      <c r="I99" s="5" t="n">
        <v>22</v>
      </c>
      <c r="J99" s="5"/>
      <c r="K99" s="5"/>
      <c r="L99" s="5"/>
      <c r="M99" s="5"/>
      <c r="N99" s="6" t="n">
        <v>0</v>
      </c>
      <c r="O99" s="5" t="s">
        <v>2328</v>
      </c>
      <c r="P99" s="5" t="s">
        <v>2328</v>
      </c>
      <c r="Q99" s="5" t="s">
        <v>2328</v>
      </c>
      <c r="R99" s="5"/>
      <c r="S99" s="5"/>
      <c r="T99" s="5"/>
    </row>
    <row r="100" customFormat="false" ht="23.25" hidden="false" customHeight="true" outlineLevel="0" collapsed="false">
      <c r="A100" s="5" t="s">
        <v>1282</v>
      </c>
      <c r="B100" s="5" t="s">
        <v>2334</v>
      </c>
      <c r="C100" s="5" t="s">
        <v>41</v>
      </c>
      <c r="D100" s="5" t="n">
        <v>5</v>
      </c>
      <c r="E100" s="5" t="n">
        <v>1</v>
      </c>
      <c r="F100" s="5" t="n">
        <v>1</v>
      </c>
      <c r="G100" s="5"/>
      <c r="H100" s="5" t="n">
        <v>2</v>
      </c>
      <c r="I100" s="5" t="n">
        <v>9</v>
      </c>
      <c r="J100" s="5"/>
      <c r="K100" s="5"/>
      <c r="L100" s="5"/>
      <c r="M100" s="5"/>
      <c r="N100" s="6" t="n">
        <v>0</v>
      </c>
      <c r="O100" s="5" t="s">
        <v>2328</v>
      </c>
      <c r="P100" s="5" t="s">
        <v>2328</v>
      </c>
      <c r="Q100" s="5" t="s">
        <v>2328</v>
      </c>
      <c r="R100" s="5"/>
      <c r="S100" s="5"/>
      <c r="T100" s="5"/>
    </row>
    <row r="101" customFormat="false" ht="15" hidden="false" customHeight="true" outlineLevel="0" collapsed="false">
      <c r="A101" s="5" t="s">
        <v>490</v>
      </c>
      <c r="B101" s="5" t="s">
        <v>491</v>
      </c>
      <c r="C101" s="5" t="s">
        <v>41</v>
      </c>
      <c r="D101" s="5"/>
      <c r="E101" s="5"/>
      <c r="F101" s="5"/>
      <c r="G101" s="5"/>
      <c r="H101" s="5"/>
      <c r="I101" s="5" t="n">
        <v>0</v>
      </c>
      <c r="J101" s="5"/>
      <c r="K101" s="5"/>
      <c r="L101" s="5"/>
      <c r="M101" s="5"/>
      <c r="N101" s="6" t="n">
        <v>0</v>
      </c>
      <c r="O101" s="5" t="s">
        <v>2328</v>
      </c>
      <c r="P101" s="5" t="s">
        <v>2328</v>
      </c>
      <c r="Q101" s="5" t="s">
        <v>2328</v>
      </c>
      <c r="R101" s="5"/>
      <c r="S101" s="5"/>
      <c r="T101" s="5"/>
    </row>
    <row r="102" customFormat="false" ht="23.25" hidden="false" customHeight="true" outlineLevel="0" collapsed="false">
      <c r="A102" s="5" t="s">
        <v>1244</v>
      </c>
      <c r="B102" s="5" t="s">
        <v>1245</v>
      </c>
      <c r="C102" s="5" t="s">
        <v>41</v>
      </c>
      <c r="D102" s="5" t="n">
        <v>1</v>
      </c>
      <c r="E102" s="5" t="n">
        <v>14</v>
      </c>
      <c r="F102" s="5"/>
      <c r="G102" s="5"/>
      <c r="H102" s="5"/>
      <c r="I102" s="5" t="n">
        <v>15</v>
      </c>
      <c r="J102" s="5"/>
      <c r="K102" s="5"/>
      <c r="L102" s="5"/>
      <c r="M102" s="5"/>
      <c r="N102" s="6" t="n">
        <v>0</v>
      </c>
      <c r="O102" s="5" t="s">
        <v>2328</v>
      </c>
      <c r="P102" s="5" t="s">
        <v>2328</v>
      </c>
      <c r="Q102" s="5" t="s">
        <v>2328</v>
      </c>
      <c r="R102" s="5"/>
      <c r="S102" s="5"/>
      <c r="T102" s="5"/>
    </row>
    <row r="103" customFormat="false" ht="15" hidden="false" customHeight="true" outlineLevel="0" collapsed="false">
      <c r="A103" s="5" t="s">
        <v>1089</v>
      </c>
      <c r="B103" s="5" t="s">
        <v>1090</v>
      </c>
      <c r="C103" s="5" t="s">
        <v>41</v>
      </c>
      <c r="D103" s="5" t="n">
        <v>3</v>
      </c>
      <c r="E103" s="5" t="n">
        <v>18</v>
      </c>
      <c r="F103" s="5" t="n">
        <v>2</v>
      </c>
      <c r="G103" s="5"/>
      <c r="H103" s="5"/>
      <c r="I103" s="5" t="n">
        <v>23</v>
      </c>
      <c r="J103" s="5"/>
      <c r="K103" s="5"/>
      <c r="L103" s="5"/>
      <c r="M103" s="5"/>
      <c r="N103" s="6" t="n">
        <v>0</v>
      </c>
      <c r="O103" s="5" t="s">
        <v>2328</v>
      </c>
      <c r="P103" s="5" t="s">
        <v>2328</v>
      </c>
      <c r="Q103" s="5" t="s">
        <v>2328</v>
      </c>
      <c r="R103" s="5"/>
      <c r="S103" s="5"/>
      <c r="T103" s="5"/>
    </row>
    <row r="104" customFormat="false" ht="15" hidden="false" customHeight="true" outlineLevel="0" collapsed="false">
      <c r="A104" s="5" t="s">
        <v>1079</v>
      </c>
      <c r="B104" s="5" t="s">
        <v>2335</v>
      </c>
      <c r="C104" s="5" t="s">
        <v>41</v>
      </c>
      <c r="D104" s="5" t="n">
        <v>4</v>
      </c>
      <c r="E104" s="5" t="n">
        <v>8</v>
      </c>
      <c r="F104" s="5" t="n">
        <v>11</v>
      </c>
      <c r="G104" s="5"/>
      <c r="H104" s="5"/>
      <c r="I104" s="5" t="n">
        <v>23</v>
      </c>
      <c r="J104" s="5"/>
      <c r="K104" s="5"/>
      <c r="L104" s="5"/>
      <c r="M104" s="5"/>
      <c r="N104" s="6" t="n">
        <v>0</v>
      </c>
      <c r="O104" s="5" t="s">
        <v>2328</v>
      </c>
      <c r="P104" s="5" t="s">
        <v>2328</v>
      </c>
      <c r="Q104" s="5" t="s">
        <v>2328</v>
      </c>
      <c r="R104" s="5"/>
      <c r="S104" s="5"/>
      <c r="T104" s="5"/>
    </row>
    <row r="105" customFormat="false" ht="23.25" hidden="false" customHeight="true" outlineLevel="0" collapsed="false">
      <c r="A105" s="5" t="s">
        <v>284</v>
      </c>
      <c r="B105" s="5" t="s">
        <v>285</v>
      </c>
      <c r="C105" s="5" t="s">
        <v>41</v>
      </c>
      <c r="D105" s="5"/>
      <c r="E105" s="5"/>
      <c r="F105" s="5"/>
      <c r="G105" s="5"/>
      <c r="H105" s="5"/>
      <c r="I105" s="5" t="n">
        <v>0</v>
      </c>
      <c r="J105" s="5"/>
      <c r="K105" s="5"/>
      <c r="L105" s="5"/>
      <c r="M105" s="5"/>
      <c r="N105" s="6" t="n">
        <v>0</v>
      </c>
      <c r="O105" s="5" t="s">
        <v>2328</v>
      </c>
      <c r="P105" s="5" t="s">
        <v>2328</v>
      </c>
      <c r="Q105" s="5" t="s">
        <v>2328</v>
      </c>
      <c r="R105" s="5"/>
      <c r="S105" s="5"/>
      <c r="T105" s="5"/>
    </row>
    <row r="106" customFormat="false" ht="23.25" hidden="false" customHeight="true" outlineLevel="0" collapsed="false">
      <c r="A106" s="5" t="s">
        <v>401</v>
      </c>
      <c r="B106" s="5" t="s">
        <v>402</v>
      </c>
      <c r="C106" s="5" t="s">
        <v>41</v>
      </c>
      <c r="D106" s="5"/>
      <c r="E106" s="5" t="n">
        <v>6</v>
      </c>
      <c r="F106" s="5"/>
      <c r="G106" s="5"/>
      <c r="H106" s="5"/>
      <c r="I106" s="5" t="n">
        <v>6</v>
      </c>
      <c r="J106" s="5"/>
      <c r="K106" s="5"/>
      <c r="L106" s="5"/>
      <c r="M106" s="5"/>
      <c r="N106" s="6" t="n">
        <v>0</v>
      </c>
      <c r="O106" s="5" t="s">
        <v>2328</v>
      </c>
      <c r="P106" s="5" t="s">
        <v>2328</v>
      </c>
      <c r="Q106" s="5" t="s">
        <v>2328</v>
      </c>
      <c r="R106" s="5"/>
      <c r="S106" s="5"/>
      <c r="T106" s="5"/>
    </row>
    <row r="107" customFormat="false" ht="15" hidden="false" customHeight="true" outlineLevel="0" collapsed="false">
      <c r="A107" s="5" t="s">
        <v>1185</v>
      </c>
      <c r="B107" s="5" t="s">
        <v>2336</v>
      </c>
      <c r="C107" s="5" t="s">
        <v>41</v>
      </c>
      <c r="D107" s="5"/>
      <c r="E107" s="5"/>
      <c r="F107" s="5"/>
      <c r="G107" s="5"/>
      <c r="H107" s="5"/>
      <c r="I107" s="5" t="n">
        <v>0</v>
      </c>
      <c r="J107" s="5"/>
      <c r="K107" s="5"/>
      <c r="L107" s="5"/>
      <c r="M107" s="5"/>
      <c r="N107" s="6" t="n">
        <v>0</v>
      </c>
      <c r="O107" s="5" t="s">
        <v>2328</v>
      </c>
      <c r="P107" s="5" t="s">
        <v>2328</v>
      </c>
      <c r="Q107" s="5" t="s">
        <v>2328</v>
      </c>
      <c r="R107" s="5"/>
      <c r="S107" s="5"/>
      <c r="T107" s="5"/>
    </row>
    <row r="108" customFormat="false" ht="23.25" hidden="false" customHeight="true" outlineLevel="0" collapsed="false">
      <c r="A108" s="5" t="s">
        <v>814</v>
      </c>
      <c r="B108" s="5" t="s">
        <v>815</v>
      </c>
      <c r="C108" s="5" t="s">
        <v>41</v>
      </c>
      <c r="D108" s="5"/>
      <c r="E108" s="5" t="n">
        <v>17</v>
      </c>
      <c r="F108" s="5" t="n">
        <v>4</v>
      </c>
      <c r="G108" s="5"/>
      <c r="H108" s="5"/>
      <c r="I108" s="5" t="n">
        <v>21</v>
      </c>
      <c r="J108" s="5"/>
      <c r="K108" s="5"/>
      <c r="L108" s="5"/>
      <c r="M108" s="5"/>
      <c r="N108" s="6" t="n">
        <v>0</v>
      </c>
      <c r="O108" s="5" t="s">
        <v>2328</v>
      </c>
      <c r="P108" s="5" t="s">
        <v>2328</v>
      </c>
      <c r="Q108" s="5" t="s">
        <v>2328</v>
      </c>
      <c r="R108" s="5"/>
      <c r="S108" s="5"/>
      <c r="T108" s="5"/>
    </row>
    <row r="109" customFormat="false" ht="23.25" hidden="false" customHeight="true" outlineLevel="0" collapsed="false">
      <c r="A109" s="5" t="s">
        <v>412</v>
      </c>
      <c r="B109" s="5" t="s">
        <v>413</v>
      </c>
      <c r="C109" s="5" t="s">
        <v>41</v>
      </c>
      <c r="D109" s="5"/>
      <c r="E109" s="5"/>
      <c r="F109" s="5"/>
      <c r="G109" s="5"/>
      <c r="H109" s="5"/>
      <c r="I109" s="5" t="n">
        <v>0</v>
      </c>
      <c r="J109" s="5"/>
      <c r="K109" s="5"/>
      <c r="L109" s="5"/>
      <c r="M109" s="5"/>
      <c r="N109" s="6" t="n">
        <v>0</v>
      </c>
      <c r="O109" s="5" t="s">
        <v>2328</v>
      </c>
      <c r="P109" s="5" t="s">
        <v>2328</v>
      </c>
      <c r="Q109" s="5" t="s">
        <v>2328</v>
      </c>
      <c r="R109" s="5"/>
      <c r="S109" s="5"/>
      <c r="T109" s="5"/>
    </row>
    <row r="110" customFormat="false" ht="15" hidden="false" customHeight="true" outlineLevel="0" collapsed="false">
      <c r="A110" s="5" t="s">
        <v>308</v>
      </c>
      <c r="B110" s="5" t="s">
        <v>309</v>
      </c>
      <c r="C110" s="5" t="s">
        <v>41</v>
      </c>
      <c r="D110" s="5"/>
      <c r="E110" s="5" t="n">
        <v>10</v>
      </c>
      <c r="F110" s="5" t="n">
        <v>2</v>
      </c>
      <c r="G110" s="5"/>
      <c r="H110" s="5"/>
      <c r="I110" s="5" t="n">
        <v>12</v>
      </c>
      <c r="J110" s="5"/>
      <c r="K110" s="5"/>
      <c r="L110" s="5"/>
      <c r="M110" s="5"/>
      <c r="N110" s="6" t="n">
        <v>0</v>
      </c>
      <c r="O110" s="5" t="s">
        <v>2328</v>
      </c>
      <c r="P110" s="5" t="s">
        <v>2328</v>
      </c>
      <c r="Q110" s="5" t="s">
        <v>2328</v>
      </c>
      <c r="R110" s="5"/>
      <c r="S110" s="5"/>
      <c r="T110" s="5"/>
    </row>
    <row r="111" customFormat="false" ht="23.25" hidden="false" customHeight="true" outlineLevel="0" collapsed="false">
      <c r="A111" s="5" t="s">
        <v>724</v>
      </c>
      <c r="B111" s="5" t="s">
        <v>725</v>
      </c>
      <c r="C111" s="5" t="s">
        <v>41</v>
      </c>
      <c r="D111" s="5"/>
      <c r="E111" s="5" t="n">
        <v>19</v>
      </c>
      <c r="F111" s="5"/>
      <c r="G111" s="5"/>
      <c r="H111" s="5"/>
      <c r="I111" s="5" t="n">
        <v>19</v>
      </c>
      <c r="J111" s="5"/>
      <c r="K111" s="5"/>
      <c r="L111" s="5"/>
      <c r="M111" s="5"/>
      <c r="N111" s="6" t="n">
        <v>0</v>
      </c>
      <c r="O111" s="5" t="s">
        <v>2323</v>
      </c>
      <c r="P111" s="5" t="s">
        <v>2328</v>
      </c>
      <c r="Q111" s="5" t="s">
        <v>2328</v>
      </c>
      <c r="R111" s="5"/>
      <c r="S111" s="5"/>
      <c r="T111" s="5"/>
    </row>
    <row r="112" customFormat="false" ht="15" hidden="false" customHeight="true" outlineLevel="0" collapsed="false">
      <c r="A112" s="5" t="s">
        <v>1029</v>
      </c>
      <c r="B112" s="5" t="s">
        <v>2337</v>
      </c>
      <c r="C112" s="5" t="s">
        <v>41</v>
      </c>
      <c r="D112" s="5"/>
      <c r="E112" s="5"/>
      <c r="F112" s="5"/>
      <c r="G112" s="5" t="s">
        <v>2338</v>
      </c>
      <c r="H112" s="5" t="s">
        <v>2339</v>
      </c>
      <c r="I112" s="5" t="n">
        <v>0</v>
      </c>
      <c r="J112" s="5"/>
      <c r="K112" s="5"/>
      <c r="L112" s="5"/>
      <c r="M112" s="5"/>
      <c r="N112" s="6" t="n">
        <v>0</v>
      </c>
      <c r="O112" s="5" t="s">
        <v>2328</v>
      </c>
      <c r="P112" s="5" t="s">
        <v>2328</v>
      </c>
      <c r="Q112" s="5" t="s">
        <v>2328</v>
      </c>
      <c r="R112" s="5"/>
      <c r="S112" s="5"/>
      <c r="T112" s="5"/>
    </row>
    <row r="113" customFormat="false" ht="15" hidden="false" customHeight="true" outlineLevel="0" collapsed="false">
      <c r="A113" s="5" t="s">
        <v>694</v>
      </c>
      <c r="B113" s="5" t="s">
        <v>695</v>
      </c>
      <c r="C113" s="5" t="s">
        <v>41</v>
      </c>
      <c r="D113" s="5" t="n">
        <v>3</v>
      </c>
      <c r="E113" s="5" t="n">
        <v>5</v>
      </c>
      <c r="F113" s="5"/>
      <c r="G113" s="5"/>
      <c r="H113" s="5"/>
      <c r="I113" s="5" t="n">
        <v>8</v>
      </c>
      <c r="J113" s="5"/>
      <c r="K113" s="5"/>
      <c r="L113" s="5"/>
      <c r="M113" s="5"/>
      <c r="N113" s="6" t="n">
        <v>0</v>
      </c>
      <c r="O113" s="5" t="s">
        <v>2328</v>
      </c>
      <c r="P113" s="5" t="s">
        <v>2328</v>
      </c>
      <c r="Q113" s="5" t="s">
        <v>2328</v>
      </c>
      <c r="R113" s="5"/>
      <c r="S113" s="5"/>
      <c r="T113" s="5"/>
    </row>
    <row r="114" customFormat="false" ht="15" hidden="false" customHeight="true" outlineLevel="0" collapsed="false">
      <c r="A114" s="5" t="s">
        <v>748</v>
      </c>
      <c r="B114" s="5" t="s">
        <v>749</v>
      </c>
      <c r="C114" s="5" t="s">
        <v>41</v>
      </c>
      <c r="D114" s="5"/>
      <c r="E114" s="5" t="s">
        <v>2340</v>
      </c>
      <c r="F114" s="5"/>
      <c r="G114" s="5"/>
      <c r="H114" s="5"/>
      <c r="I114" s="5" t="n">
        <v>0</v>
      </c>
      <c r="J114" s="5"/>
      <c r="K114" s="5"/>
      <c r="L114" s="5"/>
      <c r="M114" s="5"/>
      <c r="N114" s="6" t="n">
        <v>0</v>
      </c>
      <c r="O114" s="5" t="s">
        <v>2323</v>
      </c>
      <c r="P114" s="5" t="s">
        <v>2328</v>
      </c>
      <c r="Q114" s="5" t="s">
        <v>2328</v>
      </c>
      <c r="R114" s="5"/>
      <c r="S114" s="5"/>
      <c r="T114" s="5"/>
    </row>
    <row r="115" customFormat="false" ht="23.25" hidden="false" customHeight="true" outlineLevel="0" collapsed="false">
      <c r="A115" s="5" t="s">
        <v>758</v>
      </c>
      <c r="B115" s="5" t="s">
        <v>759</v>
      </c>
      <c r="C115" s="5" t="s">
        <v>41</v>
      </c>
      <c r="D115" s="5" t="s">
        <v>2339</v>
      </c>
      <c r="E115" s="5" t="s">
        <v>2341</v>
      </c>
      <c r="F115" s="5"/>
      <c r="G115" s="5"/>
      <c r="H115" s="5"/>
      <c r="I115" s="5" t="n">
        <v>0</v>
      </c>
      <c r="J115" s="5"/>
      <c r="K115" s="5"/>
      <c r="L115" s="5"/>
      <c r="M115" s="5"/>
      <c r="N115" s="6" t="n">
        <v>0</v>
      </c>
      <c r="O115" s="5" t="s">
        <v>2323</v>
      </c>
      <c r="P115" s="5" t="s">
        <v>2328</v>
      </c>
      <c r="Q115" s="5" t="s">
        <v>2328</v>
      </c>
      <c r="R115" s="5"/>
      <c r="S115" s="5"/>
      <c r="T115" s="5"/>
    </row>
    <row r="116" customFormat="false" ht="15" hidden="false" customHeight="true" outlineLevel="0" collapsed="false">
      <c r="A116" s="5" t="s">
        <v>1377</v>
      </c>
      <c r="B116" s="5" t="s">
        <v>1378</v>
      </c>
      <c r="C116" s="5" t="s">
        <v>41</v>
      </c>
      <c r="D116" s="5"/>
      <c r="E116" s="5" t="n">
        <v>2</v>
      </c>
      <c r="F116" s="5" t="n">
        <v>14</v>
      </c>
      <c r="G116" s="5"/>
      <c r="H116" s="5"/>
      <c r="I116" s="5" t="n">
        <v>16</v>
      </c>
      <c r="J116" s="5"/>
      <c r="K116" s="5"/>
      <c r="L116" s="5"/>
      <c r="M116" s="5"/>
      <c r="N116" s="6" t="n">
        <v>0</v>
      </c>
      <c r="O116" s="5" t="s">
        <v>2328</v>
      </c>
      <c r="P116" s="5" t="s">
        <v>2328</v>
      </c>
      <c r="Q116" s="5" t="s">
        <v>2328</v>
      </c>
      <c r="R116" s="5"/>
      <c r="S116" s="5"/>
      <c r="T116" s="5"/>
    </row>
    <row r="117" customFormat="false" ht="23.25" hidden="false" customHeight="true" outlineLevel="0" collapsed="false">
      <c r="A117" s="5" t="s">
        <v>1614</v>
      </c>
      <c r="B117" s="5" t="s">
        <v>1615</v>
      </c>
      <c r="C117" s="5" t="s">
        <v>41</v>
      </c>
      <c r="D117" s="5"/>
      <c r="E117" s="5" t="n">
        <v>4</v>
      </c>
      <c r="F117" s="5" t="n">
        <v>12</v>
      </c>
      <c r="G117" s="5" t="n">
        <v>1</v>
      </c>
      <c r="H117" s="5"/>
      <c r="I117" s="5" t="n">
        <v>17</v>
      </c>
      <c r="J117" s="5"/>
      <c r="K117" s="5"/>
      <c r="L117" s="5"/>
      <c r="M117" s="5"/>
      <c r="N117" s="6" t="n">
        <v>0</v>
      </c>
      <c r="O117" s="5" t="s">
        <v>2328</v>
      </c>
      <c r="P117" s="5" t="s">
        <v>2328</v>
      </c>
      <c r="Q117" s="5" t="s">
        <v>2328</v>
      </c>
      <c r="R117" s="5"/>
      <c r="S117" s="5"/>
      <c r="T117" s="5"/>
    </row>
    <row r="118" customFormat="false" ht="23.25" hidden="false" customHeight="true" outlineLevel="0" collapsed="false">
      <c r="A118" s="5" t="s">
        <v>1529</v>
      </c>
      <c r="B118" s="5" t="s">
        <v>1530</v>
      </c>
      <c r="C118" s="5" t="s">
        <v>41</v>
      </c>
      <c r="D118" s="5"/>
      <c r="E118" s="5" t="n">
        <v>2</v>
      </c>
      <c r="F118" s="5"/>
      <c r="G118" s="5" t="n">
        <v>2</v>
      </c>
      <c r="H118" s="5" t="n">
        <v>17</v>
      </c>
      <c r="I118" s="5" t="n">
        <v>21</v>
      </c>
      <c r="J118" s="5"/>
      <c r="K118" s="5"/>
      <c r="L118" s="5"/>
      <c r="M118" s="5"/>
      <c r="N118" s="6" t="n">
        <v>0</v>
      </c>
      <c r="O118" s="5" t="s">
        <v>2328</v>
      </c>
      <c r="P118" s="5" t="s">
        <v>2328</v>
      </c>
      <c r="Q118" s="5" t="s">
        <v>2328</v>
      </c>
      <c r="R118" s="5"/>
      <c r="S118" s="5"/>
      <c r="T118" s="5"/>
    </row>
    <row r="119" customFormat="false" ht="23.25" hidden="false" customHeight="true" outlineLevel="0" collapsed="false">
      <c r="A119" s="5" t="s">
        <v>1644</v>
      </c>
      <c r="B119" s="5" t="s">
        <v>1645</v>
      </c>
      <c r="C119" s="5" t="s">
        <v>41</v>
      </c>
      <c r="D119" s="5"/>
      <c r="E119" s="5" t="n">
        <v>4</v>
      </c>
      <c r="F119" s="5" t="n">
        <v>23</v>
      </c>
      <c r="G119" s="5"/>
      <c r="H119" s="5"/>
      <c r="I119" s="5" t="n">
        <v>27</v>
      </c>
      <c r="J119" s="5"/>
      <c r="K119" s="5"/>
      <c r="L119" s="5"/>
      <c r="M119" s="5"/>
      <c r="N119" s="6" t="n">
        <v>0</v>
      </c>
      <c r="O119" s="5" t="s">
        <v>2328</v>
      </c>
      <c r="P119" s="5" t="s">
        <v>2328</v>
      </c>
      <c r="Q119" s="5" t="s">
        <v>2328</v>
      </c>
      <c r="R119" s="5"/>
      <c r="S119" s="5"/>
      <c r="T119" s="5"/>
    </row>
    <row r="120" customFormat="false" ht="23.25" hidden="false" customHeight="true" outlineLevel="0" collapsed="false">
      <c r="A120" s="5" t="s">
        <v>1597</v>
      </c>
      <c r="B120" s="5" t="s">
        <v>2342</v>
      </c>
      <c r="C120" s="5" t="s">
        <v>41</v>
      </c>
      <c r="D120" s="5"/>
      <c r="E120" s="5" t="n">
        <v>5</v>
      </c>
      <c r="F120" s="5" t="n">
        <v>18</v>
      </c>
      <c r="G120" s="5"/>
      <c r="H120" s="5"/>
      <c r="I120" s="5" t="n">
        <v>23</v>
      </c>
      <c r="J120" s="5"/>
      <c r="K120" s="5"/>
      <c r="L120" s="5"/>
      <c r="M120" s="5"/>
      <c r="N120" s="6" t="n">
        <v>0</v>
      </c>
      <c r="O120" s="5" t="s">
        <v>2328</v>
      </c>
      <c r="P120" s="5" t="s">
        <v>2328</v>
      </c>
      <c r="Q120" s="5" t="s">
        <v>2328</v>
      </c>
      <c r="R120" s="5"/>
      <c r="S120" s="5"/>
      <c r="T120" s="5"/>
    </row>
    <row r="121" customFormat="false" ht="23.25" hidden="false" customHeight="true" outlineLevel="0" collapsed="false">
      <c r="A121" s="5" t="s">
        <v>1554</v>
      </c>
      <c r="B121" s="5" t="s">
        <v>1555</v>
      </c>
      <c r="C121" s="5" t="s">
        <v>41</v>
      </c>
      <c r="D121" s="5"/>
      <c r="E121" s="5"/>
      <c r="F121" s="5" t="n">
        <v>13</v>
      </c>
      <c r="G121" s="5"/>
      <c r="H121" s="5"/>
      <c r="I121" s="5" t="n">
        <v>13</v>
      </c>
      <c r="J121" s="5"/>
      <c r="K121" s="5"/>
      <c r="L121" s="5"/>
      <c r="M121" s="5"/>
      <c r="N121" s="6" t="n">
        <v>0</v>
      </c>
      <c r="O121" s="5" t="s">
        <v>2328</v>
      </c>
      <c r="P121" s="5" t="s">
        <v>2328</v>
      </c>
      <c r="Q121" s="5" t="s">
        <v>2328</v>
      </c>
      <c r="R121" s="5"/>
      <c r="S121" s="5"/>
      <c r="T121" s="5"/>
    </row>
    <row r="122" customFormat="false" ht="23.25" hidden="false" customHeight="true" outlineLevel="0" collapsed="false">
      <c r="A122" s="5" t="s">
        <v>321</v>
      </c>
      <c r="B122" s="5" t="s">
        <v>2343</v>
      </c>
      <c r="C122" s="5" t="s">
        <v>41</v>
      </c>
      <c r="D122" s="5"/>
      <c r="E122" s="5"/>
      <c r="F122" s="5"/>
      <c r="G122" s="5"/>
      <c r="H122" s="5"/>
      <c r="I122" s="5" t="n">
        <v>0</v>
      </c>
      <c r="J122" s="5"/>
      <c r="K122" s="5"/>
      <c r="L122" s="5"/>
      <c r="M122" s="5"/>
      <c r="N122" s="6" t="n">
        <v>0</v>
      </c>
      <c r="O122" s="5" t="s">
        <v>2328</v>
      </c>
      <c r="P122" s="5" t="s">
        <v>2328</v>
      </c>
      <c r="Q122" s="5" t="s">
        <v>2328</v>
      </c>
      <c r="R122" s="5"/>
      <c r="S122" s="5"/>
      <c r="T122" s="5"/>
    </row>
    <row r="123" customFormat="false" ht="23.25" hidden="false" customHeight="true" outlineLevel="0" collapsed="false">
      <c r="A123" s="5" t="s">
        <v>1210</v>
      </c>
      <c r="B123" s="5" t="s">
        <v>2344</v>
      </c>
      <c r="C123" s="5" t="s">
        <v>41</v>
      </c>
      <c r="D123" s="5"/>
      <c r="E123" s="5"/>
      <c r="F123" s="5"/>
      <c r="G123" s="5"/>
      <c r="H123" s="5"/>
      <c r="I123" s="5" t="n">
        <v>0</v>
      </c>
      <c r="J123" s="5"/>
      <c r="K123" s="5"/>
      <c r="L123" s="5"/>
      <c r="M123" s="5"/>
      <c r="N123" s="6" t="n">
        <v>0</v>
      </c>
      <c r="O123" s="5" t="s">
        <v>2328</v>
      </c>
      <c r="P123" s="5" t="s">
        <v>2328</v>
      </c>
      <c r="Q123" s="5" t="s">
        <v>2328</v>
      </c>
      <c r="R123" s="5"/>
      <c r="S123" s="5"/>
      <c r="T123" s="5"/>
    </row>
    <row r="124" customFormat="false" ht="15" hidden="false" customHeight="true" outlineLevel="0" collapsed="false">
      <c r="A124" s="5" t="s">
        <v>1050</v>
      </c>
      <c r="B124" s="5" t="s">
        <v>1051</v>
      </c>
      <c r="C124" s="5" t="s">
        <v>41</v>
      </c>
      <c r="D124" s="5" t="n">
        <v>17</v>
      </c>
      <c r="E124" s="5"/>
      <c r="F124" s="5"/>
      <c r="G124" s="5"/>
      <c r="H124" s="5"/>
      <c r="I124" s="5" t="n">
        <v>17</v>
      </c>
      <c r="J124" s="5"/>
      <c r="K124" s="5"/>
      <c r="L124" s="5"/>
      <c r="M124" s="5"/>
      <c r="N124" s="6" t="n">
        <v>0</v>
      </c>
      <c r="O124" s="5" t="s">
        <v>2328</v>
      </c>
      <c r="P124" s="5" t="s">
        <v>2328</v>
      </c>
      <c r="Q124" s="5" t="s">
        <v>2328</v>
      </c>
      <c r="R124" s="5"/>
      <c r="S124" s="5"/>
      <c r="T124" s="5"/>
    </row>
    <row r="125" customFormat="false" ht="15" hidden="false" customHeight="true" outlineLevel="0" collapsed="false">
      <c r="A125" s="5" t="s">
        <v>1391</v>
      </c>
      <c r="B125" s="5" t="s">
        <v>1392</v>
      </c>
      <c r="C125" s="5" t="s">
        <v>41</v>
      </c>
      <c r="D125" s="5"/>
      <c r="E125" s="5" t="n">
        <v>4</v>
      </c>
      <c r="F125" s="5" t="n">
        <v>18</v>
      </c>
      <c r="G125" s="5"/>
      <c r="H125" s="5"/>
      <c r="I125" s="5" t="n">
        <v>22</v>
      </c>
      <c r="J125" s="5"/>
      <c r="K125" s="5"/>
      <c r="L125" s="5"/>
      <c r="M125" s="5"/>
      <c r="N125" s="6" t="n">
        <v>0</v>
      </c>
      <c r="O125" s="5" t="s">
        <v>2328</v>
      </c>
      <c r="P125" s="5" t="s">
        <v>2328</v>
      </c>
      <c r="Q125" s="5" t="s">
        <v>2328</v>
      </c>
      <c r="R125" s="5"/>
      <c r="S125" s="5"/>
      <c r="T125" s="5"/>
    </row>
    <row r="126" customFormat="false" ht="15" hidden="false" customHeight="true" outlineLevel="0" collapsed="false">
      <c r="A126" s="5" t="s">
        <v>525</v>
      </c>
      <c r="B126" s="5" t="s">
        <v>526</v>
      </c>
      <c r="C126" s="5" t="s">
        <v>41</v>
      </c>
      <c r="D126" s="5" t="n">
        <v>1</v>
      </c>
      <c r="E126" s="5" t="n">
        <v>16</v>
      </c>
      <c r="F126" s="5" t="n">
        <v>2</v>
      </c>
      <c r="G126" s="5"/>
      <c r="H126" s="5"/>
      <c r="I126" s="5" t="n">
        <v>19</v>
      </c>
      <c r="J126" s="5"/>
      <c r="K126" s="5"/>
      <c r="L126" s="5"/>
      <c r="M126" s="5"/>
      <c r="N126" s="6" t="n">
        <v>0</v>
      </c>
      <c r="O126" s="5" t="s">
        <v>2328</v>
      </c>
      <c r="P126" s="5" t="s">
        <v>2328</v>
      </c>
      <c r="Q126" s="5" t="s">
        <v>2328</v>
      </c>
      <c r="R126" s="5"/>
      <c r="S126" s="5"/>
      <c r="T126" s="5"/>
    </row>
    <row r="127" customFormat="false" ht="15" hidden="false" customHeight="true" outlineLevel="0" collapsed="false">
      <c r="A127" s="5" t="s">
        <v>439</v>
      </c>
      <c r="B127" s="5" t="s">
        <v>440</v>
      </c>
      <c r="C127" s="5" t="s">
        <v>41</v>
      </c>
      <c r="D127" s="5"/>
      <c r="E127" s="5"/>
      <c r="F127" s="5"/>
      <c r="G127" s="5"/>
      <c r="H127" s="5"/>
      <c r="I127" s="5" t="n">
        <v>0</v>
      </c>
      <c r="J127" s="5"/>
      <c r="K127" s="5"/>
      <c r="L127" s="5"/>
      <c r="M127" s="5"/>
      <c r="N127" s="6" t="n">
        <v>0</v>
      </c>
      <c r="O127" s="5" t="s">
        <v>2328</v>
      </c>
      <c r="P127" s="5" t="s">
        <v>2328</v>
      </c>
      <c r="Q127" s="5" t="s">
        <v>2328</v>
      </c>
      <c r="R127" s="5"/>
      <c r="S127" s="5"/>
      <c r="T127" s="5"/>
    </row>
    <row r="128" customFormat="false" ht="15" hidden="false" customHeight="true" outlineLevel="0" collapsed="false">
      <c r="A128" s="5" t="s">
        <v>825</v>
      </c>
      <c r="B128" s="5" t="s">
        <v>826</v>
      </c>
      <c r="C128" s="5" t="s">
        <v>41</v>
      </c>
      <c r="D128" s="5" t="n">
        <v>14</v>
      </c>
      <c r="E128" s="5"/>
      <c r="F128" s="5"/>
      <c r="G128" s="5"/>
      <c r="H128" s="5"/>
      <c r="I128" s="5" t="n">
        <v>14</v>
      </c>
      <c r="J128" s="5"/>
      <c r="K128" s="5"/>
      <c r="L128" s="5"/>
      <c r="M128" s="5"/>
      <c r="N128" s="6" t="n">
        <v>0</v>
      </c>
      <c r="O128" s="5" t="s">
        <v>2328</v>
      </c>
      <c r="P128" s="5" t="s">
        <v>2328</v>
      </c>
      <c r="Q128" s="5" t="s">
        <v>2328</v>
      </c>
      <c r="R128" s="5"/>
      <c r="S128" s="5"/>
      <c r="T128" s="5"/>
    </row>
    <row r="129" customFormat="false" ht="34.5" hidden="false" customHeight="true" outlineLevel="0" collapsed="false">
      <c r="A129" s="5" t="s">
        <v>1337</v>
      </c>
      <c r="B129" s="5" t="s">
        <v>1338</v>
      </c>
      <c r="C129" s="5" t="s">
        <v>41</v>
      </c>
      <c r="D129" s="5" t="n">
        <v>2</v>
      </c>
      <c r="E129" s="5" t="n">
        <v>4</v>
      </c>
      <c r="F129" s="5" t="n">
        <v>3</v>
      </c>
      <c r="G129" s="5"/>
      <c r="H129" s="5"/>
      <c r="I129" s="5" t="n">
        <v>9</v>
      </c>
      <c r="J129" s="5"/>
      <c r="K129" s="5"/>
      <c r="L129" s="5"/>
      <c r="M129" s="5"/>
      <c r="N129" s="6" t="n">
        <v>0</v>
      </c>
      <c r="O129" s="5" t="s">
        <v>2328</v>
      </c>
      <c r="P129" s="5" t="s">
        <v>2328</v>
      </c>
      <c r="Q129" s="5" t="s">
        <v>2328</v>
      </c>
      <c r="R129" s="5"/>
      <c r="S129" s="5"/>
      <c r="T129" s="5"/>
    </row>
    <row r="130" customFormat="false" ht="15" hidden="false" customHeight="true" outlineLevel="0" collapsed="false">
      <c r="A130" s="5" t="s">
        <v>969</v>
      </c>
      <c r="B130" s="5" t="s">
        <v>970</v>
      </c>
      <c r="C130" s="5" t="s">
        <v>41</v>
      </c>
      <c r="D130" s="5" t="n">
        <v>2</v>
      </c>
      <c r="E130" s="5" t="n">
        <v>13</v>
      </c>
      <c r="F130" s="5"/>
      <c r="G130" s="5"/>
      <c r="H130" s="5"/>
      <c r="I130" s="5" t="n">
        <v>15</v>
      </c>
      <c r="J130" s="5"/>
      <c r="K130" s="5"/>
      <c r="L130" s="5"/>
      <c r="M130" s="5"/>
      <c r="N130" s="6" t="n">
        <v>0</v>
      </c>
      <c r="O130" s="5" t="s">
        <v>2328</v>
      </c>
      <c r="P130" s="5" t="s">
        <v>2328</v>
      </c>
      <c r="Q130" s="5" t="s">
        <v>2328</v>
      </c>
      <c r="R130" s="5"/>
      <c r="S130" s="5"/>
      <c r="T130" s="5"/>
    </row>
    <row r="131" customFormat="false" ht="23.25" hidden="false" customHeight="true" outlineLevel="0" collapsed="false">
      <c r="A131" s="5" t="s">
        <v>529</v>
      </c>
      <c r="B131" s="5" t="s">
        <v>530</v>
      </c>
      <c r="C131" s="5" t="s">
        <v>41</v>
      </c>
      <c r="D131" s="5" t="s">
        <v>2339</v>
      </c>
      <c r="E131" s="5" t="s">
        <v>2345</v>
      </c>
      <c r="F131" s="5"/>
      <c r="G131" s="5"/>
      <c r="H131" s="5"/>
      <c r="I131" s="5" t="n">
        <v>0</v>
      </c>
      <c r="J131" s="5"/>
      <c r="K131" s="5"/>
      <c r="L131" s="5"/>
      <c r="M131" s="5"/>
      <c r="N131" s="6" t="n">
        <v>0</v>
      </c>
      <c r="O131" s="5" t="s">
        <v>2328</v>
      </c>
      <c r="P131" s="5" t="s">
        <v>2328</v>
      </c>
      <c r="Q131" s="5" t="s">
        <v>2328</v>
      </c>
      <c r="R131" s="5"/>
      <c r="S131" s="5"/>
      <c r="T131" s="5"/>
    </row>
    <row r="132" customFormat="false" ht="15" hidden="false" customHeight="true" outlineLevel="0" collapsed="false">
      <c r="A132" s="5" t="s">
        <v>1637</v>
      </c>
      <c r="B132" s="5" t="s">
        <v>2346</v>
      </c>
      <c r="C132" s="5" t="s">
        <v>41</v>
      </c>
      <c r="D132" s="5"/>
      <c r="E132" s="5" t="n">
        <v>12</v>
      </c>
      <c r="F132" s="5" t="n">
        <v>4</v>
      </c>
      <c r="G132" s="5"/>
      <c r="H132" s="5"/>
      <c r="I132" s="5" t="n">
        <v>16</v>
      </c>
      <c r="J132" s="5"/>
      <c r="K132" s="5"/>
      <c r="L132" s="5"/>
      <c r="M132" s="5"/>
      <c r="N132" s="6" t="n">
        <v>0</v>
      </c>
      <c r="O132" s="5" t="s">
        <v>2328</v>
      </c>
      <c r="P132" s="5" t="s">
        <v>2328</v>
      </c>
      <c r="Q132" s="5" t="s">
        <v>2328</v>
      </c>
      <c r="R132" s="5"/>
      <c r="S132" s="5"/>
      <c r="T132" s="5"/>
    </row>
    <row r="133" customFormat="false" ht="23.25" hidden="false" customHeight="true" outlineLevel="0" collapsed="false">
      <c r="A133" s="5" t="s">
        <v>1522</v>
      </c>
      <c r="B133" s="5" t="s">
        <v>2347</v>
      </c>
      <c r="C133" s="5" t="s">
        <v>41</v>
      </c>
      <c r="D133" s="5" t="n">
        <v>7</v>
      </c>
      <c r="E133" s="5"/>
      <c r="F133" s="5" t="n">
        <v>25</v>
      </c>
      <c r="G133" s="5" t="n">
        <v>2</v>
      </c>
      <c r="H133" s="5"/>
      <c r="I133" s="5" t="n">
        <v>34</v>
      </c>
      <c r="J133" s="5"/>
      <c r="K133" s="5"/>
      <c r="L133" s="5"/>
      <c r="M133" s="5"/>
      <c r="N133" s="6" t="n">
        <v>0</v>
      </c>
      <c r="O133" s="5" t="s">
        <v>2328</v>
      </c>
      <c r="P133" s="5" t="s">
        <v>2328</v>
      </c>
      <c r="Q133" s="5" t="s">
        <v>2328</v>
      </c>
      <c r="R133" s="5"/>
      <c r="S133" s="5"/>
      <c r="T133" s="5"/>
    </row>
    <row r="134" customFormat="false" ht="23.25" hidden="false" customHeight="true" outlineLevel="0" collapsed="false">
      <c r="A134" s="5" t="s">
        <v>599</v>
      </c>
      <c r="B134" s="5" t="s">
        <v>600</v>
      </c>
      <c r="C134" s="5" t="s">
        <v>41</v>
      </c>
      <c r="D134" s="5"/>
      <c r="E134" s="5"/>
      <c r="F134" s="5"/>
      <c r="G134" s="5"/>
      <c r="H134" s="5"/>
      <c r="I134" s="5" t="n">
        <v>0</v>
      </c>
      <c r="J134" s="5"/>
      <c r="K134" s="5"/>
      <c r="L134" s="5"/>
      <c r="M134" s="5"/>
      <c r="N134" s="6" t="n">
        <v>0</v>
      </c>
      <c r="O134" s="5" t="s">
        <v>2328</v>
      </c>
      <c r="P134" s="5" t="s">
        <v>2328</v>
      </c>
      <c r="Q134" s="5" t="s">
        <v>2328</v>
      </c>
      <c r="R134" s="5"/>
      <c r="S134" s="5"/>
      <c r="T134" s="5"/>
    </row>
    <row r="135" customFormat="false" ht="23.25" hidden="false" customHeight="true" outlineLevel="0" collapsed="false">
      <c r="A135" s="5" t="s">
        <v>397</v>
      </c>
      <c r="B135" s="5" t="s">
        <v>2348</v>
      </c>
      <c r="C135" s="5" t="s">
        <v>41</v>
      </c>
      <c r="D135" s="5"/>
      <c r="E135" s="5"/>
      <c r="F135" s="5"/>
      <c r="G135" s="5"/>
      <c r="H135" s="5"/>
      <c r="I135" s="5" t="n">
        <v>0</v>
      </c>
      <c r="J135" s="5"/>
      <c r="K135" s="5"/>
      <c r="L135" s="5"/>
      <c r="M135" s="5"/>
      <c r="N135" s="6" t="n">
        <v>0</v>
      </c>
      <c r="O135" s="5" t="s">
        <v>2328</v>
      </c>
      <c r="P135" s="5" t="s">
        <v>2328</v>
      </c>
      <c r="Q135" s="5" t="s">
        <v>2328</v>
      </c>
      <c r="R135" s="5"/>
      <c r="S135" s="5"/>
      <c r="T135" s="5"/>
    </row>
    <row r="136" customFormat="false" ht="23.25" hidden="false" customHeight="true" outlineLevel="0" collapsed="false">
      <c r="A136" s="5" t="s">
        <v>1660</v>
      </c>
      <c r="B136" s="5" t="s">
        <v>1661</v>
      </c>
      <c r="C136" s="5" t="s">
        <v>41</v>
      </c>
      <c r="D136" s="5" t="n">
        <v>3</v>
      </c>
      <c r="E136" s="5" t="n">
        <v>26</v>
      </c>
      <c r="F136" s="5" t="n">
        <v>2</v>
      </c>
      <c r="G136" s="5"/>
      <c r="H136" s="5"/>
      <c r="I136" s="5" t="n">
        <v>31</v>
      </c>
      <c r="J136" s="5"/>
      <c r="K136" s="5"/>
      <c r="L136" s="5"/>
      <c r="M136" s="5"/>
      <c r="N136" s="6" t="n">
        <v>0</v>
      </c>
      <c r="O136" s="5" t="s">
        <v>2328</v>
      </c>
      <c r="P136" s="5" t="s">
        <v>2328</v>
      </c>
      <c r="Q136" s="5" t="s">
        <v>2328</v>
      </c>
      <c r="R136" s="5"/>
      <c r="S136" s="5"/>
      <c r="T136" s="5"/>
    </row>
    <row r="137" customFormat="false" ht="15" hidden="false" customHeight="true" outlineLevel="0" collapsed="false">
      <c r="A137" s="5" t="s">
        <v>1225</v>
      </c>
      <c r="B137" s="5" t="s">
        <v>1226</v>
      </c>
      <c r="C137" s="5" t="s">
        <v>41</v>
      </c>
      <c r="D137" s="5"/>
      <c r="E137" s="5" t="n">
        <v>8</v>
      </c>
      <c r="F137" s="5" t="n">
        <v>3</v>
      </c>
      <c r="G137" s="5"/>
      <c r="H137" s="5"/>
      <c r="I137" s="5" t="n">
        <v>11</v>
      </c>
      <c r="J137" s="5"/>
      <c r="K137" s="5"/>
      <c r="L137" s="5"/>
      <c r="M137" s="5"/>
      <c r="N137" s="6" t="n">
        <v>0</v>
      </c>
      <c r="O137" s="5" t="s">
        <v>2328</v>
      </c>
      <c r="P137" s="5" t="s">
        <v>2328</v>
      </c>
      <c r="Q137" s="5" t="s">
        <v>2328</v>
      </c>
      <c r="R137" s="5"/>
      <c r="S137" s="5"/>
      <c r="T137" s="5"/>
    </row>
    <row r="138" customFormat="false" ht="23.25" hidden="false" customHeight="true" outlineLevel="0" collapsed="false">
      <c r="A138" s="5" t="s">
        <v>408</v>
      </c>
      <c r="B138" s="5" t="s">
        <v>2349</v>
      </c>
      <c r="C138" s="5" t="s">
        <v>41</v>
      </c>
      <c r="D138" s="5"/>
      <c r="E138" s="5"/>
      <c r="F138" s="5"/>
      <c r="G138" s="5"/>
      <c r="H138" s="5"/>
      <c r="I138" s="5" t="n">
        <v>0</v>
      </c>
      <c r="J138" s="5"/>
      <c r="K138" s="5"/>
      <c r="L138" s="5"/>
      <c r="M138" s="5"/>
      <c r="N138" s="6" t="n">
        <v>0</v>
      </c>
      <c r="O138" s="5" t="s">
        <v>2328</v>
      </c>
      <c r="P138" s="5" t="s">
        <v>2328</v>
      </c>
      <c r="Q138" s="5" t="s">
        <v>2328</v>
      </c>
      <c r="R138" s="5"/>
      <c r="S138" s="5"/>
      <c r="T138" s="5"/>
    </row>
    <row r="139" customFormat="false" ht="15" hidden="false" customHeight="true" outlineLevel="0" collapsed="false">
      <c r="A139" s="5" t="s">
        <v>509</v>
      </c>
      <c r="B139" s="5" t="s">
        <v>510</v>
      </c>
      <c r="C139" s="5" t="s">
        <v>41</v>
      </c>
      <c r="D139" s="5"/>
      <c r="E139" s="5" t="n">
        <v>11</v>
      </c>
      <c r="F139" s="5" t="n">
        <v>5</v>
      </c>
      <c r="G139" s="5"/>
      <c r="H139" s="5"/>
      <c r="I139" s="5" t="n">
        <v>16</v>
      </c>
      <c r="J139" s="5"/>
      <c r="K139" s="5"/>
      <c r="L139" s="5"/>
      <c r="M139" s="5"/>
      <c r="N139" s="6" t="n">
        <v>0</v>
      </c>
      <c r="O139" s="5" t="s">
        <v>2328</v>
      </c>
      <c r="P139" s="5" t="s">
        <v>2328</v>
      </c>
      <c r="Q139" s="5" t="s">
        <v>2328</v>
      </c>
      <c r="R139" s="5"/>
      <c r="S139" s="5"/>
      <c r="T139" s="5"/>
    </row>
    <row r="140" customFormat="false" ht="23.25" hidden="false" customHeight="true" outlineLevel="0" collapsed="false">
      <c r="A140" s="5" t="s">
        <v>1384</v>
      </c>
      <c r="B140" s="5" t="s">
        <v>1385</v>
      </c>
      <c r="C140" s="5" t="s">
        <v>41</v>
      </c>
      <c r="D140" s="5" t="n">
        <v>8</v>
      </c>
      <c r="E140" s="5" t="n">
        <v>12</v>
      </c>
      <c r="F140" s="5"/>
      <c r="G140" s="5"/>
      <c r="H140" s="5"/>
      <c r="I140" s="5" t="n">
        <v>20</v>
      </c>
      <c r="J140" s="5"/>
      <c r="K140" s="5"/>
      <c r="L140" s="5"/>
      <c r="M140" s="5"/>
      <c r="N140" s="6" t="n">
        <v>0</v>
      </c>
      <c r="O140" s="5" t="s">
        <v>2323</v>
      </c>
      <c r="P140" s="5" t="s">
        <v>2323</v>
      </c>
      <c r="Q140" s="5" t="s">
        <v>2328</v>
      </c>
      <c r="R140" s="5"/>
      <c r="S140" s="5"/>
      <c r="T140" s="5"/>
    </row>
    <row r="141" customFormat="false" ht="15" hidden="false" customHeight="true" outlineLevel="0" collapsed="false">
      <c r="A141" s="5" t="s">
        <v>1710</v>
      </c>
      <c r="B141" s="5" t="s">
        <v>1711</v>
      </c>
      <c r="C141" s="5" t="s">
        <v>41</v>
      </c>
      <c r="D141" s="5"/>
      <c r="E141" s="5" t="n">
        <v>14</v>
      </c>
      <c r="F141" s="5" t="n">
        <v>10</v>
      </c>
      <c r="G141" s="5"/>
      <c r="H141" s="5"/>
      <c r="I141" s="5" t="n">
        <v>24</v>
      </c>
      <c r="J141" s="5"/>
      <c r="K141" s="5"/>
      <c r="L141" s="5"/>
      <c r="M141" s="5"/>
      <c r="N141" s="6" t="n">
        <v>0</v>
      </c>
      <c r="O141" s="5" t="s">
        <v>2328</v>
      </c>
      <c r="P141" s="5" t="s">
        <v>2328</v>
      </c>
      <c r="Q141" s="5" t="s">
        <v>2328</v>
      </c>
      <c r="R141" s="5"/>
      <c r="S141" s="5"/>
      <c r="T141" s="5"/>
    </row>
    <row r="142" customFormat="false" ht="23.25" hidden="false" customHeight="true" outlineLevel="0" collapsed="false">
      <c r="A142" s="5" t="s">
        <v>819</v>
      </c>
      <c r="B142" s="5" t="s">
        <v>820</v>
      </c>
      <c r="C142" s="5" t="s">
        <v>41</v>
      </c>
      <c r="D142" s="5" t="n">
        <v>12</v>
      </c>
      <c r="E142" s="5" t="n">
        <v>1</v>
      </c>
      <c r="F142" s="5"/>
      <c r="G142" s="5"/>
      <c r="H142" s="5"/>
      <c r="I142" s="5" t="n">
        <v>13</v>
      </c>
      <c r="J142" s="5"/>
      <c r="K142" s="5"/>
      <c r="L142" s="5"/>
      <c r="M142" s="5"/>
      <c r="N142" s="6" t="n">
        <v>0</v>
      </c>
      <c r="O142" s="5" t="s">
        <v>2328</v>
      </c>
      <c r="P142" s="5" t="s">
        <v>2328</v>
      </c>
      <c r="Q142" s="5" t="s">
        <v>2328</v>
      </c>
      <c r="R142" s="5"/>
      <c r="S142" s="5"/>
      <c r="T142" s="5"/>
    </row>
    <row r="143" customFormat="false" ht="15" hidden="false" customHeight="true" outlineLevel="0" collapsed="false">
      <c r="A143" s="5" t="s">
        <v>917</v>
      </c>
      <c r="B143" s="5" t="s">
        <v>918</v>
      </c>
      <c r="C143" s="5" t="s">
        <v>41</v>
      </c>
      <c r="D143" s="5" t="n">
        <v>12</v>
      </c>
      <c r="E143" s="5" t="n">
        <v>2</v>
      </c>
      <c r="F143" s="5"/>
      <c r="G143" s="5"/>
      <c r="H143" s="5"/>
      <c r="I143" s="5" t="n">
        <v>14</v>
      </c>
      <c r="J143" s="5"/>
      <c r="K143" s="5"/>
      <c r="L143" s="5"/>
      <c r="M143" s="5"/>
      <c r="N143" s="6" t="n">
        <v>0</v>
      </c>
      <c r="O143" s="5" t="s">
        <v>2328</v>
      </c>
      <c r="P143" s="5" t="s">
        <v>2328</v>
      </c>
      <c r="Q143" s="5" t="s">
        <v>2328</v>
      </c>
      <c r="R143" s="5"/>
      <c r="S143" s="5"/>
      <c r="T143" s="5"/>
    </row>
    <row r="144" customFormat="false" ht="15" hidden="false" customHeight="true" outlineLevel="0" collapsed="false">
      <c r="A144" s="5" t="s">
        <v>1131</v>
      </c>
      <c r="B144" s="5" t="s">
        <v>1132</v>
      </c>
      <c r="C144" s="5" t="s">
        <v>41</v>
      </c>
      <c r="D144" s="5" t="n">
        <v>20</v>
      </c>
      <c r="E144" s="5" t="n">
        <v>4</v>
      </c>
      <c r="F144" s="5"/>
      <c r="G144" s="5"/>
      <c r="H144" s="5"/>
      <c r="I144" s="5" t="n">
        <v>24</v>
      </c>
      <c r="J144" s="5"/>
      <c r="K144" s="5"/>
      <c r="L144" s="5"/>
      <c r="M144" s="5"/>
      <c r="N144" s="6" t="n">
        <v>0</v>
      </c>
      <c r="O144" s="5" t="s">
        <v>2328</v>
      </c>
      <c r="P144" s="5" t="s">
        <v>2328</v>
      </c>
      <c r="Q144" s="5" t="s">
        <v>2328</v>
      </c>
      <c r="R144" s="5"/>
      <c r="S144" s="5"/>
      <c r="T144" s="5"/>
    </row>
    <row r="145" customFormat="false" ht="15" hidden="false" customHeight="true" outlineLevel="0" collapsed="false">
      <c r="A145" s="5" t="s">
        <v>952</v>
      </c>
      <c r="B145" s="5" t="s">
        <v>953</v>
      </c>
      <c r="C145" s="5" t="s">
        <v>41</v>
      </c>
      <c r="D145" s="5" t="n">
        <v>12</v>
      </c>
      <c r="E145" s="5" t="n">
        <v>2</v>
      </c>
      <c r="F145" s="5"/>
      <c r="G145" s="5"/>
      <c r="H145" s="5"/>
      <c r="I145" s="5" t="n">
        <v>14</v>
      </c>
      <c r="J145" s="5"/>
      <c r="K145" s="5"/>
      <c r="L145" s="5"/>
      <c r="M145" s="5"/>
      <c r="N145" s="6" t="n">
        <v>0</v>
      </c>
      <c r="O145" s="5" t="s">
        <v>2328</v>
      </c>
      <c r="P145" s="5" t="s">
        <v>2328</v>
      </c>
      <c r="Q145" s="5" t="s">
        <v>2328</v>
      </c>
      <c r="R145" s="5"/>
      <c r="S145" s="5"/>
      <c r="T145" s="5"/>
    </row>
    <row r="146" customFormat="false" ht="15" hidden="false" customHeight="true" outlineLevel="0" collapsed="false">
      <c r="A146" s="5" t="s">
        <v>519</v>
      </c>
      <c r="B146" s="5" t="s">
        <v>520</v>
      </c>
      <c r="C146" s="5" t="s">
        <v>41</v>
      </c>
      <c r="D146" s="5" t="s">
        <v>2339</v>
      </c>
      <c r="E146" s="5" t="s">
        <v>2350</v>
      </c>
      <c r="F146" s="5" t="s">
        <v>2351</v>
      </c>
      <c r="G146" s="5"/>
      <c r="H146" s="5"/>
      <c r="I146" s="5" t="n">
        <v>0</v>
      </c>
      <c r="J146" s="5"/>
      <c r="K146" s="5"/>
      <c r="L146" s="5"/>
      <c r="M146" s="5"/>
      <c r="N146" s="6" t="n">
        <v>0</v>
      </c>
      <c r="O146" s="5" t="s">
        <v>2328</v>
      </c>
      <c r="P146" s="5" t="s">
        <v>2328</v>
      </c>
      <c r="Q146" s="5" t="s">
        <v>2328</v>
      </c>
      <c r="R146" s="5"/>
      <c r="S146" s="5"/>
      <c r="T146" s="5"/>
    </row>
    <row r="147" customFormat="false" ht="15" hidden="false" customHeight="true" outlineLevel="0" collapsed="false">
      <c r="A147" s="5" t="s">
        <v>1332</v>
      </c>
      <c r="B147" s="5" t="s">
        <v>1333</v>
      </c>
      <c r="C147" s="5" t="s">
        <v>41</v>
      </c>
      <c r="D147" s="5" t="n">
        <v>2</v>
      </c>
      <c r="E147" s="5" t="n">
        <v>13</v>
      </c>
      <c r="F147" s="5"/>
      <c r="G147" s="5"/>
      <c r="H147" s="5"/>
      <c r="I147" s="5" t="n">
        <v>15</v>
      </c>
      <c r="J147" s="5"/>
      <c r="K147" s="5"/>
      <c r="L147" s="5"/>
      <c r="M147" s="5"/>
      <c r="N147" s="6" t="n">
        <v>0</v>
      </c>
      <c r="O147" s="5" t="s">
        <v>2328</v>
      </c>
      <c r="P147" s="5" t="s">
        <v>2328</v>
      </c>
      <c r="Q147" s="5" t="s">
        <v>2328</v>
      </c>
      <c r="R147" s="5"/>
      <c r="S147" s="5"/>
      <c r="T147" s="5"/>
    </row>
    <row r="148" customFormat="false" ht="23.25" hidden="false" customHeight="true" outlineLevel="0" collapsed="false">
      <c r="A148" s="5" t="s">
        <v>1320</v>
      </c>
      <c r="B148" s="5" t="s">
        <v>1321</v>
      </c>
      <c r="C148" s="5" t="s">
        <v>41</v>
      </c>
      <c r="D148" s="5" t="n">
        <v>5</v>
      </c>
      <c r="E148" s="5" t="n">
        <v>9</v>
      </c>
      <c r="F148" s="5"/>
      <c r="G148" s="5"/>
      <c r="H148" s="5"/>
      <c r="I148" s="5" t="n">
        <v>14</v>
      </c>
      <c r="J148" s="5"/>
      <c r="K148" s="5"/>
      <c r="L148" s="5"/>
      <c r="M148" s="5"/>
      <c r="N148" s="6" t="n">
        <v>0</v>
      </c>
      <c r="O148" s="5" t="s">
        <v>2328</v>
      </c>
      <c r="P148" s="5" t="s">
        <v>2328</v>
      </c>
      <c r="Q148" s="5" t="s">
        <v>2328</v>
      </c>
      <c r="R148" s="5"/>
      <c r="S148" s="5"/>
      <c r="T148" s="5"/>
    </row>
    <row r="149" customFormat="false" ht="15" hidden="false" customHeight="true" outlineLevel="0" collapsed="false">
      <c r="A149" s="5" t="s">
        <v>2196</v>
      </c>
      <c r="B149" s="5" t="s">
        <v>2332</v>
      </c>
      <c r="C149" s="5" t="s">
        <v>41</v>
      </c>
      <c r="D149" s="5"/>
      <c r="E149" s="5" t="n">
        <v>1</v>
      </c>
      <c r="F149" s="5"/>
      <c r="G149" s="5" t="n">
        <v>8</v>
      </c>
      <c r="H149" s="5"/>
      <c r="I149" s="5" t="n">
        <v>9</v>
      </c>
      <c r="J149" s="5"/>
      <c r="K149" s="5"/>
      <c r="L149" s="5"/>
      <c r="M149" s="5"/>
      <c r="N149" s="6" t="n">
        <v>0</v>
      </c>
      <c r="O149" s="5" t="s">
        <v>2328</v>
      </c>
      <c r="P149" s="5" t="s">
        <v>2328</v>
      </c>
      <c r="Q149" s="5" t="s">
        <v>2328</v>
      </c>
      <c r="R149" s="5"/>
      <c r="S149" s="5"/>
      <c r="T149" s="5"/>
    </row>
    <row r="150" customFormat="false" ht="23.25" hidden="false" customHeight="true" outlineLevel="0" collapsed="false">
      <c r="A150" s="5" t="s">
        <v>419</v>
      </c>
      <c r="B150" s="5" t="s">
        <v>420</v>
      </c>
      <c r="C150" s="5" t="s">
        <v>41</v>
      </c>
      <c r="D150" s="5" t="n">
        <v>1</v>
      </c>
      <c r="E150" s="5"/>
      <c r="F150" s="5"/>
      <c r="G150" s="5"/>
      <c r="H150" s="5" t="n">
        <v>18</v>
      </c>
      <c r="I150" s="5" t="n">
        <v>19</v>
      </c>
      <c r="J150" s="5"/>
      <c r="K150" s="5"/>
      <c r="L150" s="5"/>
      <c r="M150" s="5"/>
      <c r="N150" s="6" t="n">
        <v>0</v>
      </c>
      <c r="O150" s="5" t="s">
        <v>2328</v>
      </c>
      <c r="P150" s="5" t="s">
        <v>2328</v>
      </c>
      <c r="Q150" s="5" t="s">
        <v>2328</v>
      </c>
      <c r="R150" s="5"/>
      <c r="S150" s="5"/>
      <c r="T150" s="5"/>
    </row>
    <row r="151" customFormat="false" ht="23.25" hidden="false" customHeight="true" outlineLevel="0" collapsed="false">
      <c r="A151" s="5" t="s">
        <v>392</v>
      </c>
      <c r="B151" s="5" t="s">
        <v>2352</v>
      </c>
      <c r="C151" s="5" t="s">
        <v>41</v>
      </c>
      <c r="D151" s="5"/>
      <c r="E151" s="5"/>
      <c r="F151" s="5"/>
      <c r="G151" s="5"/>
      <c r="H151" s="5"/>
      <c r="I151" s="5" t="n">
        <v>0</v>
      </c>
      <c r="J151" s="5"/>
      <c r="K151" s="5"/>
      <c r="L151" s="5"/>
      <c r="M151" s="5"/>
      <c r="N151" s="6" t="n">
        <v>0</v>
      </c>
      <c r="O151" s="5" t="s">
        <v>2328</v>
      </c>
      <c r="P151" s="5" t="s">
        <v>2328</v>
      </c>
      <c r="Q151" s="5" t="s">
        <v>2328</v>
      </c>
      <c r="R151" s="5"/>
      <c r="S151" s="5"/>
      <c r="T151" s="5"/>
    </row>
    <row r="152" customFormat="false" ht="23.25" hidden="false" customHeight="true" outlineLevel="0" collapsed="false">
      <c r="A152" s="5" t="s">
        <v>587</v>
      </c>
      <c r="B152" s="5" t="s">
        <v>2353</v>
      </c>
      <c r="C152" s="5" t="s">
        <v>41</v>
      </c>
      <c r="D152" s="5"/>
      <c r="E152" s="5"/>
      <c r="F152" s="5"/>
      <c r="G152" s="5"/>
      <c r="H152" s="5"/>
      <c r="I152" s="5" t="n">
        <v>0</v>
      </c>
      <c r="J152" s="5"/>
      <c r="K152" s="5"/>
      <c r="L152" s="5"/>
      <c r="M152" s="5"/>
      <c r="N152" s="6" t="n">
        <v>0</v>
      </c>
      <c r="O152" s="5" t="s">
        <v>2328</v>
      </c>
      <c r="P152" s="5" t="s">
        <v>2328</v>
      </c>
      <c r="Q152" s="5" t="s">
        <v>2328</v>
      </c>
      <c r="R152" s="5"/>
      <c r="S152" s="5"/>
      <c r="T152" s="5"/>
    </row>
    <row r="153" customFormat="false" ht="15" hidden="false" customHeight="true" outlineLevel="0" collapsed="false">
      <c r="A153" s="5" t="s">
        <v>1671</v>
      </c>
      <c r="B153" s="5" t="s">
        <v>2354</v>
      </c>
      <c r="C153" s="5" t="s">
        <v>41</v>
      </c>
      <c r="D153" s="5"/>
      <c r="E153" s="5" t="n">
        <v>2</v>
      </c>
      <c r="F153" s="5" t="n">
        <v>24</v>
      </c>
      <c r="G153" s="5"/>
      <c r="H153" s="5"/>
      <c r="I153" s="5" t="n">
        <v>26</v>
      </c>
      <c r="J153" s="5"/>
      <c r="K153" s="5"/>
      <c r="L153" s="5"/>
      <c r="M153" s="5"/>
      <c r="N153" s="6" t="n">
        <v>0</v>
      </c>
      <c r="O153" s="5" t="s">
        <v>2328</v>
      </c>
      <c r="P153" s="5" t="s">
        <v>2328</v>
      </c>
      <c r="Q153" s="5" t="s">
        <v>2328</v>
      </c>
      <c r="R153" s="5"/>
      <c r="S153" s="5"/>
      <c r="T153" s="5"/>
    </row>
    <row r="154" customFormat="false" ht="15" hidden="false" customHeight="true" outlineLevel="0" collapsed="false">
      <c r="A154" s="5" t="s">
        <v>718</v>
      </c>
      <c r="B154" s="5" t="s">
        <v>719</v>
      </c>
      <c r="C154" s="5" t="s">
        <v>41</v>
      </c>
      <c r="D154" s="5" t="n">
        <v>2</v>
      </c>
      <c r="E154" s="5" t="n">
        <v>1</v>
      </c>
      <c r="F154" s="5" t="n">
        <v>10</v>
      </c>
      <c r="G154" s="5"/>
      <c r="H154" s="5"/>
      <c r="I154" s="5" t="n">
        <v>13</v>
      </c>
      <c r="J154" s="5"/>
      <c r="K154" s="5"/>
      <c r="L154" s="5"/>
      <c r="M154" s="5"/>
      <c r="N154" s="6" t="n">
        <v>0</v>
      </c>
      <c r="O154" s="5" t="s">
        <v>2328</v>
      </c>
      <c r="P154" s="5" t="s">
        <v>2328</v>
      </c>
      <c r="Q154" s="5" t="s">
        <v>2328</v>
      </c>
      <c r="R154" s="5"/>
      <c r="S154" s="5"/>
      <c r="T154" s="5"/>
    </row>
    <row r="155" customFormat="false" ht="23.25" hidden="false" customHeight="true" outlineLevel="0" collapsed="false">
      <c r="A155" s="5" t="s">
        <v>1040</v>
      </c>
      <c r="B155" s="5" t="s">
        <v>1041</v>
      </c>
      <c r="C155" s="5" t="s">
        <v>41</v>
      </c>
      <c r="D155" s="5" t="n">
        <v>14</v>
      </c>
      <c r="E155" s="5" t="n">
        <v>2</v>
      </c>
      <c r="F155" s="5"/>
      <c r="G155" s="5"/>
      <c r="H155" s="5"/>
      <c r="I155" s="5" t="n">
        <v>16</v>
      </c>
      <c r="J155" s="5"/>
      <c r="K155" s="5"/>
      <c r="L155" s="5"/>
      <c r="M155" s="5"/>
      <c r="N155" s="6" t="n">
        <v>0</v>
      </c>
      <c r="O155" s="5" t="s">
        <v>2328</v>
      </c>
      <c r="P155" s="5" t="s">
        <v>2328</v>
      </c>
      <c r="Q155" s="5" t="s">
        <v>2328</v>
      </c>
      <c r="R155" s="5"/>
      <c r="S155" s="5"/>
      <c r="T155" s="5"/>
    </row>
    <row r="156" customFormat="false" ht="23.25" hidden="false" customHeight="true" outlineLevel="0" collapsed="false">
      <c r="A156" s="5" t="s">
        <v>830</v>
      </c>
      <c r="B156" s="5" t="s">
        <v>831</v>
      </c>
      <c r="C156" s="5" t="s">
        <v>41</v>
      </c>
      <c r="D156" s="5" t="n">
        <v>12</v>
      </c>
      <c r="E156" s="5" t="n">
        <v>1</v>
      </c>
      <c r="F156" s="5"/>
      <c r="G156" s="5"/>
      <c r="H156" s="5"/>
      <c r="I156" s="5" t="n">
        <v>13</v>
      </c>
      <c r="J156" s="5"/>
      <c r="K156" s="5"/>
      <c r="L156" s="5"/>
      <c r="M156" s="5"/>
      <c r="N156" s="6" t="n">
        <v>0</v>
      </c>
      <c r="O156" s="5" t="s">
        <v>2328</v>
      </c>
      <c r="P156" s="5" t="s">
        <v>2328</v>
      </c>
      <c r="Q156" s="5" t="s">
        <v>2328</v>
      </c>
      <c r="R156" s="5"/>
      <c r="S156" s="5"/>
      <c r="T156" s="5"/>
    </row>
    <row r="157" customFormat="false" ht="23.25" hidden="false" customHeight="true" outlineLevel="0" collapsed="false">
      <c r="A157" s="5" t="s">
        <v>533</v>
      </c>
      <c r="B157" s="5" t="s">
        <v>534</v>
      </c>
      <c r="C157" s="5" t="s">
        <v>41</v>
      </c>
      <c r="D157" s="5" t="n">
        <v>1</v>
      </c>
      <c r="E157" s="5" t="n">
        <v>13</v>
      </c>
      <c r="F157" s="5" t="n">
        <v>6</v>
      </c>
      <c r="G157" s="5"/>
      <c r="H157" s="5"/>
      <c r="I157" s="5" t="n">
        <v>20</v>
      </c>
      <c r="J157" s="5"/>
      <c r="K157" s="5"/>
      <c r="L157" s="5"/>
      <c r="M157" s="5"/>
      <c r="N157" s="6" t="n">
        <v>0</v>
      </c>
      <c r="O157" s="5" t="s">
        <v>2328</v>
      </c>
      <c r="P157" s="5" t="s">
        <v>2328</v>
      </c>
      <c r="Q157" s="5" t="s">
        <v>2328</v>
      </c>
      <c r="R157" s="5"/>
      <c r="S157" s="5"/>
      <c r="T157" s="5"/>
    </row>
    <row r="158" customFormat="false" ht="23.25" hidden="false" customHeight="true" outlineLevel="0" collapsed="false">
      <c r="A158" s="5" t="s">
        <v>546</v>
      </c>
      <c r="B158" s="5" t="s">
        <v>547</v>
      </c>
      <c r="C158" s="5" t="s">
        <v>41</v>
      </c>
      <c r="D158" s="5" t="s">
        <v>2339</v>
      </c>
      <c r="E158" s="5" t="s">
        <v>2355</v>
      </c>
      <c r="F158" s="5"/>
      <c r="G158" s="5"/>
      <c r="H158" s="5"/>
      <c r="I158" s="5" t="n">
        <v>0</v>
      </c>
      <c r="J158" s="5"/>
      <c r="K158" s="5"/>
      <c r="L158" s="5"/>
      <c r="M158" s="5"/>
      <c r="N158" s="6" t="n">
        <v>0</v>
      </c>
      <c r="O158" s="5" t="s">
        <v>2328</v>
      </c>
      <c r="P158" s="5" t="s">
        <v>2328</v>
      </c>
      <c r="Q158" s="5" t="s">
        <v>2328</v>
      </c>
      <c r="R158" s="5"/>
      <c r="S158" s="5"/>
      <c r="T158" s="5"/>
    </row>
    <row r="159" customFormat="false" ht="15" hidden="false" customHeight="true" outlineLevel="0" collapsed="false">
      <c r="A159" s="5" t="s">
        <v>1288</v>
      </c>
      <c r="B159" s="5" t="s">
        <v>1289</v>
      </c>
      <c r="C159" s="5" t="s">
        <v>41</v>
      </c>
      <c r="D159" s="5" t="n">
        <v>5</v>
      </c>
      <c r="E159" s="5" t="n">
        <v>9</v>
      </c>
      <c r="F159" s="5"/>
      <c r="G159" s="5"/>
      <c r="H159" s="5"/>
      <c r="I159" s="5" t="n">
        <v>14</v>
      </c>
      <c r="J159" s="5"/>
      <c r="K159" s="5"/>
      <c r="L159" s="5"/>
      <c r="M159" s="5"/>
      <c r="N159" s="6" t="n">
        <v>0</v>
      </c>
      <c r="O159" s="5" t="s">
        <v>2328</v>
      </c>
      <c r="P159" s="5" t="s">
        <v>2328</v>
      </c>
      <c r="Q159" s="5" t="s">
        <v>2328</v>
      </c>
      <c r="R159" s="5"/>
      <c r="S159" s="5"/>
      <c r="T159" s="5"/>
    </row>
    <row r="160" customFormat="false" ht="23.25" hidden="false" customHeight="true" outlineLevel="0" collapsed="false">
      <c r="A160" s="5" t="s">
        <v>2060</v>
      </c>
      <c r="B160" s="5" t="s">
        <v>2061</v>
      </c>
      <c r="C160" s="5" t="s">
        <v>41</v>
      </c>
      <c r="D160" s="5"/>
      <c r="E160" s="5"/>
      <c r="F160" s="5"/>
      <c r="G160" s="5" t="n">
        <v>6</v>
      </c>
      <c r="H160" s="5"/>
      <c r="I160" s="5" t="n">
        <v>6</v>
      </c>
      <c r="J160" s="6" t="n">
        <v>47988</v>
      </c>
      <c r="K160" s="6" t="n">
        <v>0</v>
      </c>
      <c r="L160" s="6" t="n">
        <v>6351.81</v>
      </c>
      <c r="M160" s="6" t="n">
        <v>21800.47</v>
      </c>
      <c r="N160" s="6" t="n">
        <v>76140.28</v>
      </c>
      <c r="O160" s="5" t="s">
        <v>2323</v>
      </c>
      <c r="P160" s="5" t="s">
        <v>2323</v>
      </c>
      <c r="Q160" s="5" t="s">
        <v>2323</v>
      </c>
      <c r="R160" s="5" t="s">
        <v>2325</v>
      </c>
      <c r="S160" s="9" t="n">
        <v>46020</v>
      </c>
      <c r="T160" s="9" t="n">
        <v>46037</v>
      </c>
    </row>
    <row r="161" customFormat="false" ht="15" hidden="false" customHeight="true" outlineLevel="0" collapsed="false">
      <c r="A161" s="5" t="s">
        <v>604</v>
      </c>
      <c r="B161" s="5" t="s">
        <v>605</v>
      </c>
      <c r="C161" s="5" t="s">
        <v>41</v>
      </c>
      <c r="D161" s="5"/>
      <c r="E161" s="5" t="n">
        <v>20</v>
      </c>
      <c r="F161" s="5" t="n">
        <v>1</v>
      </c>
      <c r="G161" s="5"/>
      <c r="H161" s="5"/>
      <c r="I161" s="5" t="n">
        <v>21</v>
      </c>
      <c r="J161" s="6" t="n">
        <v>73500</v>
      </c>
      <c r="K161" s="6" t="n">
        <v>303385.02</v>
      </c>
      <c r="L161" s="6" t="n">
        <v>0</v>
      </c>
      <c r="M161" s="6" t="n">
        <v>0</v>
      </c>
      <c r="N161" s="6" t="n">
        <v>376885.02</v>
      </c>
      <c r="O161" s="5" t="s">
        <v>2323</v>
      </c>
      <c r="P161" s="5" t="s">
        <v>2323</v>
      </c>
      <c r="Q161" s="5" t="s">
        <v>2323</v>
      </c>
      <c r="R161" s="5" t="s">
        <v>2327</v>
      </c>
      <c r="S161" s="5"/>
      <c r="T161" s="5"/>
    </row>
    <row r="162" customFormat="false" ht="23.25" hidden="false" customHeight="true" outlineLevel="0" collapsed="false">
      <c r="A162" s="5" t="s">
        <v>608</v>
      </c>
      <c r="B162" s="5" t="s">
        <v>2356</v>
      </c>
      <c r="C162" s="5" t="s">
        <v>41</v>
      </c>
      <c r="D162" s="5" t="n">
        <v>3</v>
      </c>
      <c r="E162" s="5" t="n">
        <v>4</v>
      </c>
      <c r="F162" s="5"/>
      <c r="G162" s="5"/>
      <c r="H162" s="5" t="n">
        <v>2</v>
      </c>
      <c r="I162" s="5" t="n">
        <v>9</v>
      </c>
      <c r="J162" s="6" t="n">
        <v>39798</v>
      </c>
      <c r="K162" s="6" t="n">
        <v>0</v>
      </c>
      <c r="L162" s="6" t="n">
        <v>0</v>
      </c>
      <c r="M162" s="6" t="n">
        <v>0</v>
      </c>
      <c r="N162" s="6" t="n">
        <v>39798</v>
      </c>
      <c r="O162" s="5" t="s">
        <v>2331</v>
      </c>
      <c r="P162" s="5" t="s">
        <v>2331</v>
      </c>
      <c r="Q162" s="5" t="s">
        <v>2323</v>
      </c>
      <c r="R162" s="5" t="s">
        <v>2327</v>
      </c>
      <c r="S162" s="9" t="n">
        <v>46037</v>
      </c>
      <c r="T162" s="9" t="n">
        <v>46097</v>
      </c>
    </row>
    <row r="163" customFormat="false" ht="23.25" hidden="false" customHeight="true" outlineLevel="0" collapsed="false">
      <c r="A163" s="5" t="s">
        <v>2255</v>
      </c>
      <c r="B163" s="5" t="s">
        <v>2357</v>
      </c>
      <c r="C163" s="5" t="s">
        <v>41</v>
      </c>
      <c r="D163" s="5"/>
      <c r="E163" s="5" t="n">
        <v>2</v>
      </c>
      <c r="F163" s="5" t="n">
        <v>14</v>
      </c>
      <c r="G163" s="5"/>
      <c r="H163" s="5"/>
      <c r="I163" s="5" t="n">
        <v>16</v>
      </c>
      <c r="J163" s="6" t="n">
        <v>69900</v>
      </c>
      <c r="K163" s="6" t="n">
        <v>0</v>
      </c>
      <c r="L163" s="6" t="n">
        <v>4678.83</v>
      </c>
      <c r="M163" s="6" t="n">
        <v>21792.38</v>
      </c>
      <c r="N163" s="6" t="n">
        <v>96371.21</v>
      </c>
      <c r="O163" s="5" t="s">
        <v>2323</v>
      </c>
      <c r="P163" s="5" t="s">
        <v>2323</v>
      </c>
      <c r="Q163" s="5" t="s">
        <v>2323</v>
      </c>
      <c r="R163" s="5" t="s">
        <v>2325</v>
      </c>
      <c r="S163" s="9" t="n">
        <v>46037</v>
      </c>
      <c r="T163" s="9" t="n">
        <v>46097</v>
      </c>
    </row>
    <row r="164" customFormat="false" ht="23.25" hidden="false" customHeight="true" outlineLevel="0" collapsed="false">
      <c r="A164" s="5" t="s">
        <v>681</v>
      </c>
      <c r="B164" s="5" t="s">
        <v>682</v>
      </c>
      <c r="C164" s="5" t="s">
        <v>41</v>
      </c>
      <c r="D164" s="5" t="n">
        <v>4</v>
      </c>
      <c r="E164" s="5" t="n">
        <v>17</v>
      </c>
      <c r="F164" s="5"/>
      <c r="G164" s="5" t="n">
        <v>3</v>
      </c>
      <c r="H164" s="5"/>
      <c r="I164" s="5" t="n">
        <v>24</v>
      </c>
      <c r="J164" s="6" t="n">
        <v>92092</v>
      </c>
      <c r="K164" s="6" t="n">
        <v>0</v>
      </c>
      <c r="L164" s="6" t="n">
        <v>0</v>
      </c>
      <c r="M164" s="6" t="n">
        <v>34215.82</v>
      </c>
      <c r="N164" s="6" t="n">
        <v>126307.82</v>
      </c>
      <c r="O164" s="5" t="s">
        <v>2323</v>
      </c>
      <c r="P164" s="5" t="s">
        <v>2331</v>
      </c>
      <c r="Q164" s="5" t="s">
        <v>2323</v>
      </c>
      <c r="R164" s="5" t="s">
        <v>2326</v>
      </c>
      <c r="S164" s="9" t="n">
        <v>46037</v>
      </c>
      <c r="T164" s="9" t="n">
        <v>46118</v>
      </c>
    </row>
    <row r="165" customFormat="false" ht="23.25" hidden="false" customHeight="true" outlineLevel="0" collapsed="false">
      <c r="A165" s="5" t="s">
        <v>690</v>
      </c>
      <c r="B165" s="5" t="s">
        <v>691</v>
      </c>
      <c r="C165" s="5" t="s">
        <v>41</v>
      </c>
      <c r="D165" s="5" t="n">
        <v>2</v>
      </c>
      <c r="E165" s="5" t="n">
        <v>19</v>
      </c>
      <c r="F165" s="5"/>
      <c r="G165" s="5"/>
      <c r="H165" s="5"/>
      <c r="I165" s="5" t="n">
        <v>21</v>
      </c>
      <c r="J165" s="6" t="n">
        <v>70274</v>
      </c>
      <c r="K165" s="6" t="n">
        <v>45089.83</v>
      </c>
      <c r="L165" s="6" t="n">
        <v>0</v>
      </c>
      <c r="M165" s="6" t="n">
        <v>45896.4</v>
      </c>
      <c r="N165" s="6" t="n">
        <v>161260.23</v>
      </c>
      <c r="O165" s="5" t="s">
        <v>2323</v>
      </c>
      <c r="P165" s="5" t="s">
        <v>2323</v>
      </c>
      <c r="Q165" s="5" t="s">
        <v>2323</v>
      </c>
      <c r="R165" s="5" t="s">
        <v>2327</v>
      </c>
      <c r="S165" s="5"/>
      <c r="T165" s="9" t="n">
        <v>46093</v>
      </c>
    </row>
    <row r="166" customFormat="false" ht="15" hidden="false" customHeight="true" outlineLevel="0" collapsed="false">
      <c r="A166" s="5" t="s">
        <v>2144</v>
      </c>
      <c r="B166" s="5" t="s">
        <v>2145</v>
      </c>
      <c r="C166" s="5" t="s">
        <v>41</v>
      </c>
      <c r="D166" s="5" t="n">
        <v>2</v>
      </c>
      <c r="E166" s="5"/>
      <c r="F166" s="5" t="n">
        <v>1</v>
      </c>
      <c r="G166" s="5"/>
      <c r="H166" s="5"/>
      <c r="I166" s="5" t="n">
        <v>3</v>
      </c>
      <c r="J166" s="6" t="n">
        <v>9224</v>
      </c>
      <c r="K166" s="6" t="n">
        <v>0</v>
      </c>
      <c r="L166" s="6" t="n">
        <v>0</v>
      </c>
      <c r="M166" s="6" t="n">
        <v>15687.33</v>
      </c>
      <c r="N166" s="6" t="n">
        <v>24911.33</v>
      </c>
      <c r="O166" s="5" t="s">
        <v>2323</v>
      </c>
      <c r="P166" s="5" t="s">
        <v>2323</v>
      </c>
      <c r="Q166" s="5" t="s">
        <v>2323</v>
      </c>
      <c r="R166" s="5" t="s">
        <v>2326</v>
      </c>
      <c r="S166" s="5"/>
      <c r="T166" s="5"/>
    </row>
    <row r="167" customFormat="false" ht="23.25" hidden="false" customHeight="true" outlineLevel="0" collapsed="false">
      <c r="A167" s="5" t="s">
        <v>2210</v>
      </c>
      <c r="B167" s="5" t="s">
        <v>2358</v>
      </c>
      <c r="C167" s="5" t="s">
        <v>41</v>
      </c>
      <c r="D167" s="5"/>
      <c r="E167" s="5" t="n">
        <v>26</v>
      </c>
      <c r="F167" s="5"/>
      <c r="G167" s="5"/>
      <c r="H167" s="5" t="n">
        <v>4</v>
      </c>
      <c r="I167" s="5" t="n">
        <v>30</v>
      </c>
      <c r="J167" s="6" t="n">
        <v>127524</v>
      </c>
      <c r="K167" s="6" t="n">
        <v>71432.195</v>
      </c>
      <c r="L167" s="6" t="n">
        <v>70000</v>
      </c>
      <c r="M167" s="6" t="n">
        <v>72000</v>
      </c>
      <c r="N167" s="6" t="n">
        <v>340956.195</v>
      </c>
      <c r="O167" s="5" t="s">
        <v>2323</v>
      </c>
      <c r="P167" s="5" t="s">
        <v>2323</v>
      </c>
      <c r="Q167" s="5" t="s">
        <v>2323</v>
      </c>
      <c r="R167" s="5" t="s">
        <v>2327</v>
      </c>
      <c r="S167" s="9" t="n">
        <v>46064</v>
      </c>
      <c r="T167" s="9" t="n">
        <v>46078</v>
      </c>
    </row>
    <row r="168" customFormat="false" ht="15" hidden="false" customHeight="true" outlineLevel="0" collapsed="false">
      <c r="A168" s="5" t="s">
        <v>2181</v>
      </c>
      <c r="B168" s="5" t="s">
        <v>2182</v>
      </c>
      <c r="C168" s="5" t="s">
        <v>41</v>
      </c>
      <c r="D168" s="5"/>
      <c r="E168" s="5" t="n">
        <v>1</v>
      </c>
      <c r="F168" s="5"/>
      <c r="G168" s="5" t="n">
        <v>2</v>
      </c>
      <c r="H168" s="5"/>
      <c r="I168" s="5" t="n">
        <v>3</v>
      </c>
      <c r="J168" s="6" t="n">
        <v>19446</v>
      </c>
      <c r="K168" s="6" t="n">
        <v>0</v>
      </c>
      <c r="L168" s="6" t="n">
        <v>0</v>
      </c>
      <c r="M168" s="6" t="n">
        <v>23263.71</v>
      </c>
      <c r="N168" s="6" t="n">
        <v>42709.71</v>
      </c>
      <c r="O168" s="5" t="s">
        <v>2323</v>
      </c>
      <c r="P168" s="5" t="s">
        <v>2323</v>
      </c>
      <c r="Q168" s="5" t="s">
        <v>2323</v>
      </c>
      <c r="R168" s="5"/>
      <c r="S168" s="5"/>
      <c r="T168" s="5"/>
    </row>
    <row r="169" customFormat="false" ht="23.25" hidden="false" customHeight="true" outlineLevel="0" collapsed="false">
      <c r="A169" s="5" t="s">
        <v>660</v>
      </c>
      <c r="B169" s="5" t="s">
        <v>2359</v>
      </c>
      <c r="C169" s="5" t="s">
        <v>41</v>
      </c>
      <c r="D169" s="5" t="n">
        <v>1</v>
      </c>
      <c r="E169" s="5" t="n">
        <v>7</v>
      </c>
      <c r="F169" s="5"/>
      <c r="G169" s="5"/>
      <c r="H169" s="5" t="n">
        <v>3</v>
      </c>
      <c r="I169" s="5" t="n">
        <v>11</v>
      </c>
      <c r="J169" s="6" t="n">
        <v>54880</v>
      </c>
      <c r="K169" s="6" t="n">
        <v>295625.52</v>
      </c>
      <c r="L169" s="6" t="n">
        <v>0</v>
      </c>
      <c r="M169" s="6" t="n">
        <v>40738.53</v>
      </c>
      <c r="N169" s="6" t="n">
        <v>391244.05</v>
      </c>
      <c r="O169" s="5" t="s">
        <v>2323</v>
      </c>
      <c r="P169" s="5" t="s">
        <v>2323</v>
      </c>
      <c r="Q169" s="5" t="s">
        <v>2323</v>
      </c>
      <c r="R169" s="5" t="s">
        <v>2327</v>
      </c>
      <c r="S169" s="5"/>
      <c r="T169" s="5"/>
    </row>
    <row r="170" customFormat="false" ht="15" hidden="false" customHeight="true" outlineLevel="0" collapsed="false">
      <c r="A170" s="5" t="s">
        <v>2099</v>
      </c>
      <c r="B170" s="5" t="s">
        <v>2100</v>
      </c>
      <c r="C170" s="5" t="s">
        <v>41</v>
      </c>
      <c r="D170" s="5"/>
      <c r="E170" s="5" t="n">
        <v>2</v>
      </c>
      <c r="F170" s="5" t="n">
        <v>8</v>
      </c>
      <c r="G170" s="5" t="n">
        <v>2</v>
      </c>
      <c r="H170" s="5"/>
      <c r="I170" s="5" t="n">
        <v>12</v>
      </c>
      <c r="J170" s="6" t="n">
        <v>58896</v>
      </c>
      <c r="K170" s="6" t="n">
        <v>0</v>
      </c>
      <c r="L170" s="6" t="n">
        <v>0</v>
      </c>
      <c r="M170" s="6" t="n">
        <v>32263.34</v>
      </c>
      <c r="N170" s="6" t="n">
        <v>91159.34</v>
      </c>
      <c r="O170" s="5" t="s">
        <v>2323</v>
      </c>
      <c r="P170" s="5" t="s">
        <v>2323</v>
      </c>
      <c r="Q170" s="5" t="s">
        <v>2323</v>
      </c>
      <c r="R170" s="5" t="s">
        <v>2326</v>
      </c>
      <c r="S170" s="5"/>
      <c r="T170" s="5"/>
    </row>
    <row r="171" customFormat="false" ht="23.25" hidden="false" customHeight="true" outlineLevel="0" collapsed="false">
      <c r="A171" s="5" t="s">
        <v>2228</v>
      </c>
      <c r="B171" s="5" t="s">
        <v>2229</v>
      </c>
      <c r="C171" s="5" t="s">
        <v>41</v>
      </c>
      <c r="D171" s="5"/>
      <c r="E171" s="5"/>
      <c r="F171" s="5"/>
      <c r="G171" s="5"/>
      <c r="H171" s="5"/>
      <c r="I171" s="5" t="n">
        <v>0</v>
      </c>
      <c r="J171" s="6" t="n">
        <v>0</v>
      </c>
      <c r="K171" s="6" t="n">
        <v>0</v>
      </c>
      <c r="L171" s="6" t="n">
        <v>0</v>
      </c>
      <c r="M171" s="6" t="n">
        <v>0</v>
      </c>
      <c r="N171" s="6" t="n">
        <v>0</v>
      </c>
      <c r="O171" s="5" t="s">
        <v>2323</v>
      </c>
      <c r="P171" s="5" t="s">
        <v>2323</v>
      </c>
      <c r="Q171" s="5" t="s">
        <v>2323</v>
      </c>
      <c r="R171" s="5"/>
      <c r="S171" s="5"/>
      <c r="T171" s="5"/>
    </row>
    <row r="172" customFormat="false" ht="23.25" hidden="false" customHeight="true" outlineLevel="0" collapsed="false">
      <c r="A172" s="5" t="s">
        <v>612</v>
      </c>
      <c r="B172" s="5" t="s">
        <v>613</v>
      </c>
      <c r="C172" s="5" t="s">
        <v>41</v>
      </c>
      <c r="D172" s="5"/>
      <c r="E172" s="5" t="n">
        <v>4</v>
      </c>
      <c r="F172" s="5" t="n">
        <v>16</v>
      </c>
      <c r="G172" s="5"/>
      <c r="H172" s="5"/>
      <c r="I172" s="5" t="n">
        <v>20</v>
      </c>
      <c r="J172" s="6" t="n">
        <v>85800</v>
      </c>
      <c r="K172" s="6" t="n">
        <v>0</v>
      </c>
      <c r="L172" s="6" t="n">
        <v>0</v>
      </c>
      <c r="M172" s="6" t="n">
        <v>26168.8</v>
      </c>
      <c r="N172" s="6" t="n">
        <v>111968.8</v>
      </c>
      <c r="O172" s="5" t="s">
        <v>2323</v>
      </c>
      <c r="P172" s="5" t="s">
        <v>2331</v>
      </c>
      <c r="Q172" s="5" t="s">
        <v>2323</v>
      </c>
      <c r="R172" s="5" t="s">
        <v>2325</v>
      </c>
      <c r="S172" s="5"/>
      <c r="T172" s="5"/>
    </row>
    <row r="173" customFormat="false" ht="23.25" hidden="false" customHeight="true" outlineLevel="0" collapsed="false">
      <c r="A173" s="5" t="s">
        <v>656</v>
      </c>
      <c r="B173" s="5" t="s">
        <v>2360</v>
      </c>
      <c r="C173" s="5" t="s">
        <v>41</v>
      </c>
      <c r="D173" s="5"/>
      <c r="E173" s="5"/>
      <c r="F173" s="5" t="n">
        <v>8</v>
      </c>
      <c r="G173" s="5"/>
      <c r="H173" s="5"/>
      <c r="I173" s="5" t="n">
        <v>8</v>
      </c>
      <c r="J173" s="6" t="n">
        <v>36000</v>
      </c>
      <c r="K173" s="6" t="n">
        <v>0</v>
      </c>
      <c r="L173" s="6" t="n">
        <v>0</v>
      </c>
      <c r="M173" s="6" t="n">
        <v>29644.17</v>
      </c>
      <c r="N173" s="6" t="n">
        <v>65644.17</v>
      </c>
      <c r="O173" s="5" t="s">
        <v>2323</v>
      </c>
      <c r="P173" s="5" t="s">
        <v>2323</v>
      </c>
      <c r="Q173" s="5" t="s">
        <v>2323</v>
      </c>
      <c r="R173" s="5" t="s">
        <v>2327</v>
      </c>
      <c r="S173" s="5"/>
      <c r="T173" s="5"/>
    </row>
    <row r="174" customFormat="false" ht="15" hidden="false" customHeight="true" outlineLevel="0" collapsed="false">
      <c r="A174" s="5" t="s">
        <v>2272</v>
      </c>
      <c r="B174" s="5" t="s">
        <v>2273</v>
      </c>
      <c r="C174" s="5" t="s">
        <v>41</v>
      </c>
      <c r="D174" s="5"/>
      <c r="E174" s="5" t="n">
        <v>1</v>
      </c>
      <c r="F174" s="5" t="n">
        <v>1</v>
      </c>
      <c r="G174" s="5"/>
      <c r="H174" s="5"/>
      <c r="I174" s="5" t="n">
        <v>2</v>
      </c>
      <c r="J174" s="6" t="n">
        <v>7950</v>
      </c>
      <c r="K174" s="6" t="n">
        <v>6295.6</v>
      </c>
      <c r="L174" s="6" t="n">
        <v>5707.85</v>
      </c>
      <c r="M174" s="6" t="n">
        <v>0</v>
      </c>
      <c r="N174" s="6" t="n">
        <v>19953.45</v>
      </c>
      <c r="O174" s="5" t="s">
        <v>2323</v>
      </c>
      <c r="P174" s="5" t="s">
        <v>2323</v>
      </c>
      <c r="Q174" s="5" t="s">
        <v>2323</v>
      </c>
      <c r="R174" s="5" t="s">
        <v>2327</v>
      </c>
      <c r="S174" s="5"/>
      <c r="T174" s="5"/>
    </row>
    <row r="175" customFormat="false" ht="23.25" hidden="false" customHeight="true" outlineLevel="0" collapsed="false">
      <c r="A175" s="5" t="s">
        <v>2166</v>
      </c>
      <c r="B175" s="5" t="s">
        <v>2167</v>
      </c>
      <c r="C175" s="5" t="s">
        <v>41</v>
      </c>
      <c r="D175" s="5"/>
      <c r="E175" s="5" t="n">
        <v>1</v>
      </c>
      <c r="F175" s="5" t="n">
        <v>9</v>
      </c>
      <c r="G175" s="5" t="n">
        <v>1</v>
      </c>
      <c r="H175" s="5"/>
      <c r="I175" s="5" t="n">
        <v>11</v>
      </c>
      <c r="J175" s="6" t="n">
        <v>51948</v>
      </c>
      <c r="K175" s="6" t="n">
        <v>0</v>
      </c>
      <c r="L175" s="6" t="n">
        <v>0</v>
      </c>
      <c r="M175" s="6" t="n">
        <v>25335.3</v>
      </c>
      <c r="N175" s="6" t="n">
        <v>77283.3</v>
      </c>
      <c r="O175" s="5" t="s">
        <v>2323</v>
      </c>
      <c r="P175" s="5" t="s">
        <v>2323</v>
      </c>
      <c r="Q175" s="5" t="s">
        <v>2323</v>
      </c>
      <c r="R175" s="5" t="s">
        <v>2325</v>
      </c>
      <c r="S175" s="5"/>
      <c r="T175" s="5"/>
    </row>
    <row r="176" customFormat="false" ht="23.25" hidden="false" customHeight="true" outlineLevel="0" collapsed="false">
      <c r="A176" s="5" t="s">
        <v>2172</v>
      </c>
      <c r="B176" s="5" t="s">
        <v>2173</v>
      </c>
      <c r="C176" s="5" t="s">
        <v>41</v>
      </c>
      <c r="D176" s="5"/>
      <c r="E176" s="5" t="n">
        <v>1</v>
      </c>
      <c r="F176" s="5" t="n">
        <v>10</v>
      </c>
      <c r="G176" s="5" t="n">
        <v>1</v>
      </c>
      <c r="H176" s="5"/>
      <c r="I176" s="5" t="n">
        <v>12</v>
      </c>
      <c r="J176" s="6" t="n">
        <v>56448</v>
      </c>
      <c r="K176" s="6" t="n">
        <v>3123.23</v>
      </c>
      <c r="L176" s="6" t="n">
        <v>5310.88</v>
      </c>
      <c r="M176" s="6" t="n">
        <v>47597.32</v>
      </c>
      <c r="N176" s="6" t="n">
        <v>112479.43</v>
      </c>
      <c r="O176" s="5" t="s">
        <v>2323</v>
      </c>
      <c r="P176" s="5" t="s">
        <v>2323</v>
      </c>
      <c r="Q176" s="5" t="s">
        <v>2323</v>
      </c>
      <c r="R176" s="5" t="s">
        <v>2327</v>
      </c>
      <c r="S176" s="5"/>
      <c r="T176" s="5"/>
    </row>
    <row r="177" customFormat="false" ht="23.25" hidden="false" customHeight="true" outlineLevel="0" collapsed="false">
      <c r="A177" s="5" t="s">
        <v>2280</v>
      </c>
      <c r="B177" s="5" t="s">
        <v>2281</v>
      </c>
      <c r="C177" s="5" t="s">
        <v>41</v>
      </c>
      <c r="D177" s="5" t="n">
        <v>1</v>
      </c>
      <c r="E177" s="5" t="n">
        <v>7</v>
      </c>
      <c r="F177" s="5"/>
      <c r="G177" s="5" t="n">
        <v>9</v>
      </c>
      <c r="H177" s="5"/>
      <c r="I177" s="5" t="n">
        <v>17</v>
      </c>
      <c r="J177" s="6" t="n">
        <v>98494</v>
      </c>
      <c r="K177" s="6" t="n">
        <v>0</v>
      </c>
      <c r="L177" s="6" t="n">
        <v>0</v>
      </c>
      <c r="M177" s="6" t="n">
        <v>131276.67</v>
      </c>
      <c r="N177" s="6" t="n">
        <v>229770.67</v>
      </c>
      <c r="O177" s="5" t="s">
        <v>2323</v>
      </c>
      <c r="P177" s="5" t="s">
        <v>2323</v>
      </c>
      <c r="Q177" s="5" t="s">
        <v>2323</v>
      </c>
      <c r="R177" s="5"/>
      <c r="S177" s="9" t="n">
        <v>46045</v>
      </c>
      <c r="T177" s="9" t="n">
        <v>46059</v>
      </c>
    </row>
    <row r="178" customFormat="false" ht="23.25" hidden="false" customHeight="true" outlineLevel="0" collapsed="false">
      <c r="A178" s="5" t="s">
        <v>1750</v>
      </c>
      <c r="B178" s="5" t="s">
        <v>2361</v>
      </c>
      <c r="C178" s="5" t="s">
        <v>41</v>
      </c>
      <c r="D178" s="5"/>
      <c r="E178" s="5"/>
      <c r="F178" s="5"/>
      <c r="G178" s="5"/>
      <c r="H178" s="5"/>
      <c r="I178" s="5" t="n">
        <v>0</v>
      </c>
      <c r="J178" s="5"/>
      <c r="K178" s="5"/>
      <c r="L178" s="5"/>
      <c r="M178" s="5"/>
      <c r="N178" s="6" t="n">
        <v>0</v>
      </c>
      <c r="O178" s="5" t="s">
        <v>2331</v>
      </c>
      <c r="P178" s="5" t="s">
        <v>2331</v>
      </c>
      <c r="Q178" s="5" t="s">
        <v>2331</v>
      </c>
      <c r="R178" s="5"/>
      <c r="S178" s="5"/>
      <c r="T178" s="5"/>
    </row>
    <row r="179" customFormat="false" ht="23.25" hidden="false" customHeight="true" outlineLevel="0" collapsed="false">
      <c r="A179" s="5" t="s">
        <v>1840</v>
      </c>
      <c r="B179" s="5" t="s">
        <v>1841</v>
      </c>
      <c r="C179" s="5" t="s">
        <v>41</v>
      </c>
      <c r="D179" s="5"/>
      <c r="E179" s="5"/>
      <c r="F179" s="5"/>
      <c r="G179" s="5"/>
      <c r="H179" s="5"/>
      <c r="I179" s="5" t="n">
        <v>0</v>
      </c>
      <c r="J179" s="5"/>
      <c r="K179" s="5"/>
      <c r="L179" s="5"/>
      <c r="M179" s="5"/>
      <c r="N179" s="6" t="n">
        <v>0</v>
      </c>
      <c r="O179" s="5" t="s">
        <v>2331</v>
      </c>
      <c r="P179" s="5" t="s">
        <v>2331</v>
      </c>
      <c r="Q179" s="5" t="s">
        <v>2331</v>
      </c>
      <c r="R179" s="5"/>
      <c r="S179" s="5"/>
      <c r="T179" s="5"/>
    </row>
    <row r="180" customFormat="false" ht="15" hidden="false" customHeight="true" outlineLevel="0" collapsed="false">
      <c r="A180" s="5" t="s">
        <v>2037</v>
      </c>
      <c r="B180" s="5" t="s">
        <v>2038</v>
      </c>
      <c r="C180" s="5" t="s">
        <v>41</v>
      </c>
      <c r="D180" s="5"/>
      <c r="E180" s="5" t="n">
        <v>21</v>
      </c>
      <c r="F180" s="5" t="n">
        <v>4</v>
      </c>
      <c r="G180" s="5"/>
      <c r="H180" s="5"/>
      <c r="I180" s="5" t="n">
        <v>25</v>
      </c>
      <c r="J180" s="5"/>
      <c r="K180" s="5"/>
      <c r="L180" s="5"/>
      <c r="M180" s="5"/>
      <c r="N180" s="6" t="n">
        <v>0</v>
      </c>
      <c r="O180" s="5" t="s">
        <v>2331</v>
      </c>
      <c r="P180" s="5" t="s">
        <v>2328</v>
      </c>
      <c r="Q180" s="5" t="s">
        <v>2331</v>
      </c>
      <c r="R180" s="5"/>
      <c r="S180" s="5"/>
      <c r="T180" s="5"/>
    </row>
    <row r="181" customFormat="false" ht="23.25" hidden="false" customHeight="true" outlineLevel="0" collapsed="false">
      <c r="A181" s="5" t="s">
        <v>1766</v>
      </c>
      <c r="B181" s="5" t="s">
        <v>1767</v>
      </c>
      <c r="C181" s="5" t="s">
        <v>41</v>
      </c>
      <c r="D181" s="5"/>
      <c r="E181" s="5"/>
      <c r="F181" s="5"/>
      <c r="G181" s="5"/>
      <c r="H181" s="5"/>
      <c r="I181" s="5" t="n">
        <v>0</v>
      </c>
      <c r="J181" s="5"/>
      <c r="K181" s="5"/>
      <c r="L181" s="5"/>
      <c r="M181" s="5"/>
      <c r="N181" s="6" t="n">
        <v>0</v>
      </c>
      <c r="O181" s="5" t="s">
        <v>2331</v>
      </c>
      <c r="P181" s="5" t="s">
        <v>2331</v>
      </c>
      <c r="Q181" s="5" t="s">
        <v>2331</v>
      </c>
      <c r="R181" s="5"/>
      <c r="S181" s="5"/>
      <c r="T181" s="5"/>
    </row>
    <row r="182" customFormat="false" ht="23.25" hidden="false" customHeight="true" outlineLevel="0" collapsed="false">
      <c r="A182" s="5" t="s">
        <v>1972</v>
      </c>
      <c r="B182" s="5" t="s">
        <v>2362</v>
      </c>
      <c r="C182" s="5" t="s">
        <v>41</v>
      </c>
      <c r="D182" s="5"/>
      <c r="E182" s="5"/>
      <c r="F182" s="5"/>
      <c r="G182" s="5"/>
      <c r="H182" s="5"/>
      <c r="I182" s="5" t="n">
        <v>0</v>
      </c>
      <c r="J182" s="5"/>
      <c r="K182" s="5"/>
      <c r="L182" s="5"/>
      <c r="M182" s="5"/>
      <c r="N182" s="6" t="n">
        <v>0</v>
      </c>
      <c r="O182" s="5" t="s">
        <v>2331</v>
      </c>
      <c r="P182" s="5" t="s">
        <v>2331</v>
      </c>
      <c r="Q182" s="5" t="s">
        <v>2331</v>
      </c>
      <c r="R182" s="5" t="s">
        <v>2330</v>
      </c>
      <c r="S182" s="5"/>
      <c r="T182" s="5"/>
    </row>
    <row r="183" customFormat="false" ht="23.25" hidden="false" customHeight="true" outlineLevel="0" collapsed="false">
      <c r="A183" s="5" t="s">
        <v>1754</v>
      </c>
      <c r="B183" s="5" t="s">
        <v>2363</v>
      </c>
      <c r="C183" s="5" t="s">
        <v>41</v>
      </c>
      <c r="D183" s="5"/>
      <c r="E183" s="5"/>
      <c r="F183" s="5"/>
      <c r="G183" s="5"/>
      <c r="H183" s="5"/>
      <c r="I183" s="5" t="n">
        <v>0</v>
      </c>
      <c r="J183" s="5"/>
      <c r="K183" s="5"/>
      <c r="L183" s="5"/>
      <c r="M183" s="5"/>
      <c r="N183" s="6" t="n">
        <v>0</v>
      </c>
      <c r="O183" s="5" t="s">
        <v>2331</v>
      </c>
      <c r="P183" s="5" t="s">
        <v>2331</v>
      </c>
      <c r="Q183" s="5" t="s">
        <v>2331</v>
      </c>
      <c r="R183" s="5"/>
      <c r="S183" s="5"/>
      <c r="T183" s="5"/>
    </row>
    <row r="184" customFormat="false" ht="23.25" hidden="false" customHeight="true" outlineLevel="0" collapsed="false">
      <c r="A184" s="5" t="s">
        <v>1926</v>
      </c>
      <c r="B184" s="5" t="s">
        <v>1927</v>
      </c>
      <c r="C184" s="5" t="s">
        <v>41</v>
      </c>
      <c r="D184" s="5" t="n">
        <v>1</v>
      </c>
      <c r="E184" s="5" t="n">
        <v>13</v>
      </c>
      <c r="F184" s="5" t="n">
        <v>7</v>
      </c>
      <c r="G184" s="5" t="n">
        <v>2</v>
      </c>
      <c r="H184" s="5"/>
      <c r="I184" s="5" t="n">
        <v>23</v>
      </c>
      <c r="J184" s="5"/>
      <c r="K184" s="5"/>
      <c r="L184" s="5"/>
      <c r="M184" s="5"/>
      <c r="N184" s="6" t="n">
        <v>0</v>
      </c>
      <c r="O184" s="5" t="s">
        <v>2331</v>
      </c>
      <c r="P184" s="5" t="s">
        <v>2328</v>
      </c>
      <c r="Q184" s="5" t="s">
        <v>2331</v>
      </c>
      <c r="R184" s="5"/>
      <c r="S184" s="5"/>
      <c r="T184" s="5"/>
    </row>
    <row r="185" customFormat="false" ht="23.25" hidden="false" customHeight="true" outlineLevel="0" collapsed="false">
      <c r="A185" s="5" t="s">
        <v>1996</v>
      </c>
      <c r="B185" s="5" t="s">
        <v>1997</v>
      </c>
      <c r="C185" s="5" t="s">
        <v>41</v>
      </c>
      <c r="D185" s="5"/>
      <c r="E185" s="5" t="n">
        <v>12</v>
      </c>
      <c r="F185" s="5" t="n">
        <v>2</v>
      </c>
      <c r="G185" s="5"/>
      <c r="H185" s="5"/>
      <c r="I185" s="5" t="n">
        <v>14</v>
      </c>
      <c r="J185" s="5"/>
      <c r="K185" s="5"/>
      <c r="L185" s="5"/>
      <c r="M185" s="5"/>
      <c r="N185" s="6" t="n">
        <v>0</v>
      </c>
      <c r="O185" s="5" t="s">
        <v>2331</v>
      </c>
      <c r="P185" s="5" t="s">
        <v>2331</v>
      </c>
      <c r="Q185" s="5" t="s">
        <v>2331</v>
      </c>
      <c r="R185" s="5"/>
      <c r="S185" s="5"/>
      <c r="T185" s="5"/>
    </row>
    <row r="186" customFormat="false" ht="15" hidden="false" customHeight="true" outlineLevel="0" collapsed="false">
      <c r="A186" s="5" t="s">
        <v>1717</v>
      </c>
      <c r="B186" s="5" t="s">
        <v>1718</v>
      </c>
      <c r="C186" s="5" t="s">
        <v>41</v>
      </c>
      <c r="D186" s="5" t="n">
        <v>1</v>
      </c>
      <c r="E186" s="5" t="n">
        <v>10</v>
      </c>
      <c r="F186" s="5" t="n">
        <v>7</v>
      </c>
      <c r="G186" s="5"/>
      <c r="H186" s="5"/>
      <c r="I186" s="5" t="n">
        <v>18</v>
      </c>
      <c r="J186" s="5"/>
      <c r="K186" s="5"/>
      <c r="L186" s="5"/>
      <c r="M186" s="5"/>
      <c r="N186" s="6" t="n">
        <v>0</v>
      </c>
      <c r="O186" s="5" t="s">
        <v>2331</v>
      </c>
      <c r="P186" s="5" t="s">
        <v>2331</v>
      </c>
      <c r="Q186" s="5" t="s">
        <v>2331</v>
      </c>
      <c r="R186" s="5"/>
      <c r="S186" s="5"/>
      <c r="T186" s="5"/>
    </row>
    <row r="187" customFormat="false" ht="15" hidden="false" customHeight="true" outlineLevel="0" collapsed="false">
      <c r="A187" s="5" t="s">
        <v>1958</v>
      </c>
      <c r="B187" s="5" t="s">
        <v>1959</v>
      </c>
      <c r="C187" s="5" t="s">
        <v>41</v>
      </c>
      <c r="D187" s="5"/>
      <c r="E187" s="5"/>
      <c r="F187" s="5"/>
      <c r="G187" s="5"/>
      <c r="H187" s="5"/>
      <c r="I187" s="5" t="n">
        <v>0</v>
      </c>
      <c r="J187" s="5"/>
      <c r="K187" s="5"/>
      <c r="L187" s="5"/>
      <c r="M187" s="5"/>
      <c r="N187" s="6" t="n">
        <v>0</v>
      </c>
      <c r="O187" s="5" t="s">
        <v>2331</v>
      </c>
      <c r="P187" s="5" t="s">
        <v>2331</v>
      </c>
      <c r="Q187" s="5" t="s">
        <v>2331</v>
      </c>
      <c r="R187" s="5"/>
      <c r="S187" s="5"/>
      <c r="T187" s="5"/>
    </row>
    <row r="188" customFormat="false" ht="23.25" hidden="false" customHeight="true" outlineLevel="0" collapsed="false">
      <c r="A188" s="5" t="s">
        <v>1746</v>
      </c>
      <c r="B188" s="5" t="s">
        <v>2364</v>
      </c>
      <c r="C188" s="5" t="s">
        <v>41</v>
      </c>
      <c r="D188" s="5"/>
      <c r="E188" s="5"/>
      <c r="F188" s="5"/>
      <c r="G188" s="5"/>
      <c r="H188" s="5"/>
      <c r="I188" s="5" t="n">
        <v>0</v>
      </c>
      <c r="J188" s="5"/>
      <c r="K188" s="5"/>
      <c r="L188" s="5"/>
      <c r="M188" s="5"/>
      <c r="N188" s="6" t="n">
        <v>0</v>
      </c>
      <c r="O188" s="5" t="s">
        <v>2331</v>
      </c>
      <c r="P188" s="5" t="s">
        <v>2328</v>
      </c>
      <c r="Q188" s="5" t="s">
        <v>2331</v>
      </c>
      <c r="R188" s="5"/>
      <c r="S188" s="5"/>
      <c r="T188" s="5"/>
    </row>
    <row r="189" customFormat="false" ht="23.25" hidden="false" customHeight="true" outlineLevel="0" collapsed="false">
      <c r="A189" s="5" t="s">
        <v>1886</v>
      </c>
      <c r="B189" s="5" t="s">
        <v>1887</v>
      </c>
      <c r="C189" s="5" t="s">
        <v>41</v>
      </c>
      <c r="D189" s="5"/>
      <c r="E189" s="5" t="n">
        <v>4</v>
      </c>
      <c r="F189" s="5" t="n">
        <v>40</v>
      </c>
      <c r="G189" s="5"/>
      <c r="H189" s="5"/>
      <c r="I189" s="5" t="n">
        <v>44</v>
      </c>
      <c r="J189" s="5"/>
      <c r="K189" s="5"/>
      <c r="L189" s="5"/>
      <c r="M189" s="5"/>
      <c r="N189" s="6" t="n">
        <v>0</v>
      </c>
      <c r="O189" s="5" t="s">
        <v>2331</v>
      </c>
      <c r="P189" s="5" t="s">
        <v>2331</v>
      </c>
      <c r="Q189" s="5" t="s">
        <v>2331</v>
      </c>
      <c r="R189" s="5"/>
      <c r="S189" s="5"/>
      <c r="T189" s="5"/>
    </row>
    <row r="190" customFormat="false" ht="23.25" hidden="false" customHeight="true" outlineLevel="0" collapsed="false">
      <c r="A190" s="5" t="s">
        <v>1770</v>
      </c>
      <c r="B190" s="5" t="s">
        <v>1771</v>
      </c>
      <c r="C190" s="5" t="s">
        <v>41</v>
      </c>
      <c r="D190" s="5"/>
      <c r="E190" s="5"/>
      <c r="F190" s="5"/>
      <c r="G190" s="5"/>
      <c r="H190" s="5"/>
      <c r="I190" s="5" t="n">
        <v>0</v>
      </c>
      <c r="J190" s="5"/>
      <c r="K190" s="5"/>
      <c r="L190" s="5"/>
      <c r="M190" s="5"/>
      <c r="N190" s="6" t="n">
        <v>0</v>
      </c>
      <c r="O190" s="5" t="s">
        <v>2331</v>
      </c>
      <c r="P190" s="5" t="s">
        <v>2331</v>
      </c>
      <c r="Q190" s="5" t="s">
        <v>2331</v>
      </c>
      <c r="R190" s="5"/>
      <c r="S190" s="5"/>
      <c r="T190" s="5"/>
    </row>
    <row r="191" customFormat="false" ht="23.25" hidden="false" customHeight="true" outlineLevel="0" collapsed="false">
      <c r="A191" s="5" t="s">
        <v>1776</v>
      </c>
      <c r="B191" s="5" t="s">
        <v>2365</v>
      </c>
      <c r="C191" s="5" t="s">
        <v>41</v>
      </c>
      <c r="D191" s="5"/>
      <c r="E191" s="5" t="n">
        <v>6</v>
      </c>
      <c r="F191" s="5" t="n">
        <v>24</v>
      </c>
      <c r="G191" s="5"/>
      <c r="H191" s="5"/>
      <c r="I191" s="5" t="n">
        <v>30</v>
      </c>
      <c r="J191" s="5"/>
      <c r="K191" s="5"/>
      <c r="L191" s="5"/>
      <c r="M191" s="5"/>
      <c r="N191" s="6" t="n">
        <v>0</v>
      </c>
      <c r="O191" s="5" t="s">
        <v>2331</v>
      </c>
      <c r="P191" s="5" t="s">
        <v>2331</v>
      </c>
      <c r="Q191" s="5" t="s">
        <v>2331</v>
      </c>
      <c r="R191" s="5"/>
      <c r="S191" s="5"/>
      <c r="T191" s="5"/>
    </row>
    <row r="192" customFormat="false" ht="23.25" hidden="false" customHeight="true" outlineLevel="0" collapsed="false">
      <c r="A192" s="5" t="s">
        <v>1845</v>
      </c>
      <c r="B192" s="5" t="s">
        <v>1846</v>
      </c>
      <c r="C192" s="5" t="s">
        <v>41</v>
      </c>
      <c r="D192" s="5"/>
      <c r="E192" s="5"/>
      <c r="F192" s="5"/>
      <c r="G192" s="5"/>
      <c r="H192" s="5"/>
      <c r="I192" s="5" t="n">
        <v>0</v>
      </c>
      <c r="J192" s="5"/>
      <c r="K192" s="5"/>
      <c r="L192" s="5"/>
      <c r="M192" s="5"/>
      <c r="N192" s="6" t="n">
        <v>0</v>
      </c>
      <c r="O192" s="5" t="s">
        <v>2331</v>
      </c>
      <c r="P192" s="5" t="s">
        <v>2331</v>
      </c>
      <c r="Q192" s="5" t="s">
        <v>2331</v>
      </c>
      <c r="R192" s="5"/>
      <c r="S192" s="5"/>
      <c r="T192" s="5"/>
    </row>
    <row r="193" customFormat="false" ht="15" hidden="false" customHeight="true" outlineLevel="0" collapsed="false">
      <c r="A193" s="5" t="s">
        <v>1780</v>
      </c>
      <c r="B193" s="5" t="s">
        <v>1781</v>
      </c>
      <c r="C193" s="5" t="s">
        <v>41</v>
      </c>
      <c r="D193" s="5"/>
      <c r="E193" s="5" t="n">
        <v>21</v>
      </c>
      <c r="F193" s="5" t="n">
        <v>5</v>
      </c>
      <c r="G193" s="5"/>
      <c r="H193" s="5"/>
      <c r="I193" s="5" t="n">
        <v>26</v>
      </c>
      <c r="J193" s="5"/>
      <c r="K193" s="5"/>
      <c r="L193" s="5"/>
      <c r="M193" s="5"/>
      <c r="N193" s="6" t="n">
        <v>0</v>
      </c>
      <c r="O193" s="5" t="s">
        <v>2331</v>
      </c>
      <c r="P193" s="5" t="s">
        <v>2331</v>
      </c>
      <c r="Q193" s="5" t="s">
        <v>2331</v>
      </c>
      <c r="R193" s="5"/>
      <c r="S193" s="5"/>
      <c r="T193" s="5"/>
    </row>
    <row r="194" customFormat="false" ht="23.25" hidden="false" customHeight="true" outlineLevel="0" collapsed="false">
      <c r="A194" s="5" t="s">
        <v>537</v>
      </c>
      <c r="B194" s="5" t="s">
        <v>538</v>
      </c>
      <c r="C194" s="5" t="s">
        <v>41</v>
      </c>
      <c r="D194" s="5" t="n">
        <v>1</v>
      </c>
      <c r="E194" s="5" t="n">
        <v>17</v>
      </c>
      <c r="F194" s="5" t="n">
        <v>2</v>
      </c>
      <c r="G194" s="5"/>
      <c r="H194" s="5"/>
      <c r="I194" s="5" t="n">
        <v>20</v>
      </c>
      <c r="J194" s="5"/>
      <c r="K194" s="5"/>
      <c r="L194" s="5"/>
      <c r="M194" s="5"/>
      <c r="N194" s="6" t="n">
        <v>0</v>
      </c>
      <c r="O194" s="5" t="s">
        <v>2323</v>
      </c>
      <c r="P194" s="5" t="s">
        <v>2331</v>
      </c>
      <c r="Q194" s="5" t="s">
        <v>2331</v>
      </c>
      <c r="R194" s="5"/>
      <c r="S194" s="5"/>
      <c r="T19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0"/>
  </cols>
  <sheetData>
    <row r="1" customFormat="false" ht="15" hidden="false" customHeight="true" outlineLevel="0" collapsed="false">
      <c r="A1" s="10" t="s">
        <v>2366</v>
      </c>
    </row>
    <row r="3" customFormat="false" ht="15" hidden="false" customHeight="true" outlineLevel="0" collapsed="false">
      <c r="A3" s="11" t="s">
        <v>2367</v>
      </c>
      <c r="B3" s="4" t="s">
        <v>2296</v>
      </c>
    </row>
    <row r="4" customFormat="false" ht="15" hidden="false" customHeight="true" outlineLevel="0" collapsed="false">
      <c r="A4" s="12" t="s">
        <v>2368</v>
      </c>
      <c r="B4" s="13" t="n">
        <f aca="false">COUNTA(ESCOLA!A2:A513)</f>
        <v>512</v>
      </c>
    </row>
    <row r="5" customFormat="false" ht="15" hidden="false" customHeight="true" outlineLevel="0" collapsed="false">
      <c r="A5" s="12" t="s">
        <v>2369</v>
      </c>
      <c r="B5" s="13" t="n">
        <f aca="false">COUNTIF(ESCOLA!N:N,"9. CLIMATIZADA")</f>
        <v>150</v>
      </c>
    </row>
    <row r="6" customFormat="false" ht="15" hidden="false" customHeight="true" outlineLevel="0" collapsed="false">
      <c r="A6" s="12" t="s">
        <v>2370</v>
      </c>
      <c r="B6" s="13" t="n">
        <f aca="false">COUNTIF(ESCOLA!N:N,"10. CLIMATIZADA PARCIAL")</f>
        <v>16</v>
      </c>
    </row>
    <row r="7" customFormat="false" ht="15" hidden="false" customHeight="true" outlineLevel="0" collapsed="false">
      <c r="A7" s="12" t="s">
        <v>2371</v>
      </c>
      <c r="B7" s="13" t="n">
        <f aca="false">COUNTIF(ESCOLA!N:N,"0. A INICIAR")</f>
        <v>259</v>
      </c>
    </row>
    <row r="8" customFormat="false" ht="15" hidden="false" customHeight="true" outlineLevel="0" collapsed="false">
      <c r="A8" s="12" t="s">
        <v>2372</v>
      </c>
      <c r="B8" s="13" t="n">
        <f aca="false">COUNTIF(ESCOLA!L:L,"SIM")</f>
        <v>137</v>
      </c>
    </row>
    <row r="9" customFormat="false" ht="15" hidden="false" customHeight="true" outlineLevel="0" collapsed="false">
      <c r="A9" s="12" t="s">
        <v>2373</v>
      </c>
      <c r="B9" s="13" t="n">
        <f aca="false">COUNTIF(ESCOLA!L:L,"NÃO")</f>
        <v>375</v>
      </c>
    </row>
    <row r="10" customFormat="false" ht="15" hidden="false" customHeight="true" outlineLevel="0" collapsed="false">
      <c r="A10" s="12" t="s">
        <v>2374</v>
      </c>
      <c r="B10" s="13" t="n">
        <f aca="false">COUNTIF(ESCOLA!T:T,"SIM")</f>
        <v>192</v>
      </c>
    </row>
    <row r="11" customFormat="false" ht="15" hidden="false" customHeight="true" outlineLevel="0" collapsed="false">
      <c r="A11" s="12" t="s">
        <v>2375</v>
      </c>
      <c r="B11" s="13" t="n">
        <f aca="false">COUNTA(ESCOLA!U2:U513)</f>
        <v>512</v>
      </c>
    </row>
    <row r="12" customFormat="false" ht="15" hidden="false" customHeight="true" outlineLevel="0" collapsed="false">
      <c r="A12" s="12" t="s">
        <v>2376</v>
      </c>
      <c r="B12" s="13" t="n">
        <f aca="false">COUNTA(ESCOLA!V2:V513)</f>
        <v>512</v>
      </c>
    </row>
    <row r="13" customFormat="false" ht="15" hidden="false" customHeight="true" outlineLevel="0" collapsed="false">
      <c r="A13" s="12" t="s">
        <v>2377</v>
      </c>
      <c r="B13" s="13" t="n">
        <f aca="false">COUNTA(OS!A2:A111)</f>
        <v>110</v>
      </c>
    </row>
    <row r="14" customFormat="false" ht="15" hidden="false" customHeight="true" outlineLevel="0" collapsed="false">
      <c r="A14" s="12" t="s">
        <v>2378</v>
      </c>
      <c r="B14" s="14" t="n">
        <f aca="false">SUM(EXECUCAO!N2:N194)</f>
        <v>9213591.105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2379</v>
      </c>
      <c r="B1" s="1" t="s">
        <v>2380</v>
      </c>
      <c r="C1" s="1" t="s">
        <v>2381</v>
      </c>
      <c r="D1" s="1" t="s">
        <v>2382</v>
      </c>
      <c r="E1" s="1" t="s">
        <v>2383</v>
      </c>
      <c r="F1" s="1" t="s">
        <v>2384</v>
      </c>
      <c r="G1" s="1" t="s">
        <v>2385</v>
      </c>
    </row>
    <row r="2" customFormat="false" ht="15" hidden="false" customHeight="true" outlineLevel="0" collapsed="false">
      <c r="A2" s="1" t="s">
        <v>43</v>
      </c>
      <c r="B2" s="1" t="s">
        <v>44</v>
      </c>
      <c r="C2" s="1" t="s">
        <v>2386</v>
      </c>
      <c r="D2" s="1" t="s">
        <v>2302</v>
      </c>
      <c r="E2" s="1" t="s">
        <v>2303</v>
      </c>
      <c r="F2" s="1" t="s">
        <v>2387</v>
      </c>
      <c r="G2" s="1" t="s">
        <v>2388</v>
      </c>
    </row>
    <row r="3" customFormat="false" ht="15" hidden="false" customHeight="true" outlineLevel="0" collapsed="false">
      <c r="A3" s="1" t="s">
        <v>436</v>
      </c>
      <c r="B3" s="1" t="s">
        <v>42</v>
      </c>
      <c r="C3" s="1" t="s">
        <v>2389</v>
      </c>
      <c r="D3" s="1" t="s">
        <v>2304</v>
      </c>
      <c r="E3" s="1" t="s">
        <v>2305</v>
      </c>
      <c r="F3" s="1" t="s">
        <v>2390</v>
      </c>
      <c r="G3" s="1" t="s">
        <v>2391</v>
      </c>
    </row>
    <row r="4" customFormat="false" ht="15" hidden="false" customHeight="true" outlineLevel="0" collapsed="false">
      <c r="A4" s="1" t="s">
        <v>697</v>
      </c>
      <c r="C4" s="1" t="s">
        <v>2392</v>
      </c>
      <c r="F4" s="1" t="s">
        <v>2393</v>
      </c>
      <c r="G4" s="1" t="s">
        <v>2394</v>
      </c>
    </row>
    <row r="5" customFormat="false" ht="15" hidden="false" customHeight="true" outlineLevel="0" collapsed="false">
      <c r="A5" s="1" t="s">
        <v>822</v>
      </c>
      <c r="C5" s="1" t="s">
        <v>2395</v>
      </c>
      <c r="G5" s="1" t="s">
        <v>2396</v>
      </c>
    </row>
    <row r="6" customFormat="false" ht="15" hidden="false" customHeight="true" outlineLevel="0" collapsed="false">
      <c r="A6" s="1" t="s">
        <v>1291</v>
      </c>
      <c r="G6" s="1" t="s">
        <v>2397</v>
      </c>
    </row>
    <row r="7" customFormat="false" ht="15" hidden="false" customHeight="true" outlineLevel="0" collapsed="false">
      <c r="A7" s="1" t="s">
        <v>540</v>
      </c>
      <c r="G7" s="1" t="s">
        <v>2398</v>
      </c>
    </row>
    <row r="8" customFormat="false" ht="15" hidden="false" customHeight="true" outlineLevel="0" collapsed="false">
      <c r="A8" s="1" t="s">
        <v>1999</v>
      </c>
    </row>
    <row r="9" customFormat="false" ht="15" hidden="false" customHeight="true" outlineLevel="0" collapsed="false">
      <c r="A9" s="1" t="s">
        <v>569</v>
      </c>
    </row>
    <row r="10" customFormat="false" ht="15" hidden="false" customHeight="true" outlineLevel="0" collapsed="false">
      <c r="A10" s="1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2026-06-01T08:10:56Z</dcterms:created>
  <dc:creator>openpyxl</dc:creator>
  <dc:description/>
  <dc:language>en-US</dc:language>
  <cp:lastModifiedBy/>
  <dcterms:modified xsi:type="dcterms:W3CDTF">2026-06-01T14:04:46Z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